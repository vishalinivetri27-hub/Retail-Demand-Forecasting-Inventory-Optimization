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7.xml" ContentType="application/vnd.openxmlformats-officedocument.drawing+xml"/>
  <Override PartName="/xl/tables/table2.xml" ContentType="application/vnd.openxmlformats-officedocument.spreadsheetml.tab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DELL\Downloads\"/>
    </mc:Choice>
  </mc:AlternateContent>
  <bookViews>
    <workbookView xWindow="0" yWindow="0" windowWidth="20490" windowHeight="7500" firstSheet="4" activeTab="8"/>
  </bookViews>
  <sheets>
    <sheet name="vish_miniproject_1" sheetId="1" r:id="rId1"/>
    <sheet name="Pivot_Sales_Category" sheetId="8" r:id="rId2"/>
    <sheet name="Pivot_Sales_Region" sheetId="9" r:id="rId3"/>
    <sheet name="Pivot_Quantity_Category" sheetId="10" r:id="rId4"/>
    <sheet name="Pivot_Monthly_Sales" sheetId="13" r:id="rId5"/>
    <sheet name="Pivot_Safety_Stock" sheetId="14" r:id="rId6"/>
    <sheet name="Dashboard" sheetId="17" r:id="rId7"/>
    <sheet name="forecast_chart" sheetId="6" r:id="rId8"/>
    <sheet name="SQL_Analytics" sheetId="18" r:id="rId9"/>
  </sheets>
  <definedNames>
    <definedName name="_xlcn.WorksheetConnection_Vishalini_Retail_Analytics_Final.xlsxTable11" hidden="1">RetailSales[]</definedName>
    <definedName name="Slicer_Category">#N/A</definedName>
    <definedName name="Slicer_Region">#N/A</definedName>
  </definedNames>
  <calcPr calcId="162913"/>
  <pivotCaches>
    <pivotCache cacheId="18" r:id="rId10"/>
    <pivotCache cacheId="13" r:id="rId11"/>
    <pivotCache cacheId="14"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Vishalini_Retail_Analytics_Final.xlsx!Table1"/>
        </x15:modelTables>
      </x15:dataModel>
    </ext>
  </extLst>
</workbook>
</file>

<file path=xl/calcChain.xml><?xml version="1.0" encoding="utf-8"?>
<calcChain xmlns="http://schemas.openxmlformats.org/spreadsheetml/2006/main">
  <c r="E66" i="18" l="1"/>
  <c r="E67" i="18"/>
  <c r="E68" i="18"/>
  <c r="E69" i="18"/>
  <c r="E65" i="18"/>
  <c r="D58" i="18"/>
  <c r="D57" i="18"/>
  <c r="D56" i="18"/>
  <c r="D55" i="18"/>
  <c r="D54" i="18"/>
  <c r="D53" i="18"/>
  <c r="D52" i="18"/>
  <c r="G420" i="18"/>
  <c r="G414" i="18"/>
  <c r="G415" i="18"/>
  <c r="G416" i="18"/>
  <c r="G417" i="18"/>
  <c r="G418" i="18"/>
  <c r="G419" i="18"/>
  <c r="G413" i="18"/>
  <c r="J31" i="18"/>
  <c r="C7" i="18"/>
  <c r="C6" i="18"/>
  <c r="C5" i="18"/>
  <c r="C4" i="18"/>
  <c r="O11" i="17" l="1"/>
  <c r="K11" i="17"/>
  <c r="G11" i="17"/>
  <c r="C11" i="17"/>
  <c r="L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I388" i="1"/>
  <c r="G388" i="1"/>
  <c r="I3" i="1" l="1"/>
  <c r="J3" i="1" s="1"/>
  <c r="I4" i="1"/>
  <c r="J4" i="1" s="1"/>
  <c r="I5" i="1"/>
  <c r="J5" i="1" s="1"/>
  <c r="I6" i="1"/>
  <c r="J6" i="1" s="1"/>
  <c r="I7" i="1"/>
  <c r="J7" i="1" s="1"/>
  <c r="I8" i="1"/>
  <c r="J8" i="1" s="1"/>
  <c r="I9" i="1"/>
  <c r="J9" i="1" s="1"/>
  <c r="I10" i="1"/>
  <c r="J10" i="1" s="1"/>
  <c r="I11" i="1"/>
  <c r="J11" i="1" s="1"/>
  <c r="I12" i="1"/>
  <c r="J12" i="1" s="1"/>
  <c r="I13" i="1"/>
  <c r="J13" i="1" s="1"/>
  <c r="I2" i="1"/>
  <c r="J2" i="1" s="1"/>
  <c r="G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I14" i="1"/>
  <c r="I15" i="1"/>
  <c r="I16" i="1"/>
  <c r="J16" i="1" s="1"/>
  <c r="K16" i="1" s="1"/>
  <c r="I17" i="1"/>
  <c r="J17" i="1" s="1"/>
  <c r="K17" i="1" s="1"/>
  <c r="I18" i="1"/>
  <c r="J18" i="1" s="1"/>
  <c r="K18" i="1" s="1"/>
  <c r="I19" i="1"/>
  <c r="J19" i="1" s="1"/>
  <c r="K19" i="1" s="1"/>
  <c r="I20" i="1"/>
  <c r="J20" i="1" s="1"/>
  <c r="K20" i="1" s="1"/>
  <c r="I21" i="1"/>
  <c r="J21" i="1" s="1"/>
  <c r="K21" i="1" s="1"/>
  <c r="I22" i="1"/>
  <c r="J22" i="1" s="1"/>
  <c r="K22" i="1" s="1"/>
  <c r="I23" i="1"/>
  <c r="J23" i="1" s="1"/>
  <c r="K23" i="1" s="1"/>
  <c r="I24" i="1"/>
  <c r="J24" i="1" s="1"/>
  <c r="K24" i="1" s="1"/>
  <c r="I25" i="1"/>
  <c r="J25" i="1" s="1"/>
  <c r="K25" i="1" s="1"/>
  <c r="I26" i="1"/>
  <c r="J26" i="1" s="1"/>
  <c r="K26" i="1" s="1"/>
  <c r="I27" i="1"/>
  <c r="J27" i="1" s="1"/>
  <c r="K27" i="1" s="1"/>
  <c r="I28" i="1"/>
  <c r="J28" i="1" s="1"/>
  <c r="K28" i="1" s="1"/>
  <c r="I29" i="1"/>
  <c r="J29" i="1" s="1"/>
  <c r="K29" i="1" s="1"/>
  <c r="I30" i="1"/>
  <c r="J30" i="1" s="1"/>
  <c r="K30" i="1" s="1"/>
  <c r="I31" i="1"/>
  <c r="J31" i="1" s="1"/>
  <c r="K31" i="1" s="1"/>
  <c r="I32" i="1"/>
  <c r="J32" i="1" s="1"/>
  <c r="K32" i="1" s="1"/>
  <c r="I33" i="1"/>
  <c r="J33" i="1" s="1"/>
  <c r="K33" i="1" s="1"/>
  <c r="I34" i="1"/>
  <c r="J34" i="1" s="1"/>
  <c r="K34" i="1" s="1"/>
  <c r="I35" i="1"/>
  <c r="J35" i="1" s="1"/>
  <c r="K35" i="1" s="1"/>
  <c r="I36" i="1"/>
  <c r="J36" i="1" s="1"/>
  <c r="K36" i="1" s="1"/>
  <c r="I37" i="1"/>
  <c r="J37" i="1" s="1"/>
  <c r="K37" i="1" s="1"/>
  <c r="I38" i="1"/>
  <c r="J38" i="1" s="1"/>
  <c r="K38" i="1" s="1"/>
  <c r="I39" i="1"/>
  <c r="J39" i="1" s="1"/>
  <c r="K39" i="1" s="1"/>
  <c r="I40" i="1"/>
  <c r="J40" i="1" s="1"/>
  <c r="K40" i="1" s="1"/>
  <c r="I41" i="1"/>
  <c r="J41" i="1" s="1"/>
  <c r="K41" i="1" s="1"/>
  <c r="I42" i="1"/>
  <c r="J42" i="1" s="1"/>
  <c r="K42" i="1" s="1"/>
  <c r="I43" i="1"/>
  <c r="J43" i="1" s="1"/>
  <c r="K43" i="1" s="1"/>
  <c r="I44" i="1"/>
  <c r="J44" i="1" s="1"/>
  <c r="K44" i="1" s="1"/>
  <c r="I45" i="1"/>
  <c r="J45" i="1" s="1"/>
  <c r="K45" i="1" s="1"/>
  <c r="I46" i="1"/>
  <c r="J46" i="1" s="1"/>
  <c r="K46" i="1" s="1"/>
  <c r="I47" i="1"/>
  <c r="J47" i="1" s="1"/>
  <c r="K47" i="1" s="1"/>
  <c r="I48" i="1"/>
  <c r="J48" i="1" s="1"/>
  <c r="K48" i="1" s="1"/>
  <c r="I49" i="1"/>
  <c r="J49" i="1" s="1"/>
  <c r="K49" i="1" s="1"/>
  <c r="I50" i="1"/>
  <c r="J50" i="1" s="1"/>
  <c r="K50" i="1" s="1"/>
  <c r="I51" i="1"/>
  <c r="J51" i="1" s="1"/>
  <c r="K51" i="1" s="1"/>
  <c r="I52" i="1"/>
  <c r="J52" i="1" s="1"/>
  <c r="K52" i="1" s="1"/>
  <c r="I53" i="1"/>
  <c r="J53" i="1" s="1"/>
  <c r="K53" i="1" s="1"/>
  <c r="I54" i="1"/>
  <c r="J54" i="1" s="1"/>
  <c r="K54" i="1" s="1"/>
  <c r="I55" i="1"/>
  <c r="J55" i="1" s="1"/>
  <c r="K55" i="1" s="1"/>
  <c r="I56" i="1"/>
  <c r="J56" i="1" s="1"/>
  <c r="K56" i="1" s="1"/>
  <c r="I57" i="1"/>
  <c r="J57" i="1" s="1"/>
  <c r="K57" i="1" s="1"/>
  <c r="I58" i="1"/>
  <c r="J58" i="1" s="1"/>
  <c r="K58" i="1" s="1"/>
  <c r="I59" i="1"/>
  <c r="J59" i="1" s="1"/>
  <c r="K59" i="1" s="1"/>
  <c r="I60" i="1"/>
  <c r="J60" i="1" s="1"/>
  <c r="K60" i="1" s="1"/>
  <c r="I61" i="1"/>
  <c r="J61" i="1" s="1"/>
  <c r="K61" i="1" s="1"/>
  <c r="I62" i="1"/>
  <c r="J62" i="1" s="1"/>
  <c r="K62" i="1" s="1"/>
  <c r="I63" i="1"/>
  <c r="J63" i="1" s="1"/>
  <c r="K63" i="1" s="1"/>
  <c r="I64" i="1"/>
  <c r="J64" i="1" s="1"/>
  <c r="K64" i="1" s="1"/>
  <c r="I65" i="1"/>
  <c r="J65" i="1" s="1"/>
  <c r="K65" i="1" s="1"/>
  <c r="I66" i="1"/>
  <c r="J66" i="1" s="1"/>
  <c r="K66" i="1" s="1"/>
  <c r="I67" i="1"/>
  <c r="J67" i="1" s="1"/>
  <c r="K67" i="1" s="1"/>
  <c r="I68" i="1"/>
  <c r="J68" i="1" s="1"/>
  <c r="K68" i="1" s="1"/>
  <c r="I69" i="1"/>
  <c r="J69" i="1" s="1"/>
  <c r="K69" i="1" s="1"/>
  <c r="I70" i="1"/>
  <c r="J70" i="1" s="1"/>
  <c r="K70" i="1" s="1"/>
  <c r="I71" i="1"/>
  <c r="J71" i="1" s="1"/>
  <c r="K71" i="1" s="1"/>
  <c r="I72" i="1"/>
  <c r="J72" i="1" s="1"/>
  <c r="K72" i="1" s="1"/>
  <c r="I73" i="1"/>
  <c r="J73" i="1" s="1"/>
  <c r="K73" i="1" s="1"/>
  <c r="I74" i="1"/>
  <c r="J74" i="1" s="1"/>
  <c r="K74" i="1" s="1"/>
  <c r="I75" i="1"/>
  <c r="J75" i="1" s="1"/>
  <c r="K75" i="1" s="1"/>
  <c r="I76" i="1"/>
  <c r="J76" i="1" s="1"/>
  <c r="K76" i="1" s="1"/>
  <c r="I77" i="1"/>
  <c r="J77" i="1" s="1"/>
  <c r="K77" i="1" s="1"/>
  <c r="I78" i="1"/>
  <c r="J78" i="1" s="1"/>
  <c r="K78" i="1" s="1"/>
  <c r="I79" i="1"/>
  <c r="J79" i="1" s="1"/>
  <c r="K79" i="1" s="1"/>
  <c r="I80" i="1"/>
  <c r="J80" i="1" s="1"/>
  <c r="K80" i="1" s="1"/>
  <c r="I81" i="1"/>
  <c r="J81" i="1" s="1"/>
  <c r="K81" i="1" s="1"/>
  <c r="I82" i="1"/>
  <c r="J82" i="1" s="1"/>
  <c r="K82" i="1" s="1"/>
  <c r="I83" i="1"/>
  <c r="J83" i="1" s="1"/>
  <c r="K83" i="1" s="1"/>
  <c r="I84" i="1"/>
  <c r="J84" i="1" s="1"/>
  <c r="K84" i="1" s="1"/>
  <c r="I85" i="1"/>
  <c r="J85" i="1" s="1"/>
  <c r="K85" i="1" s="1"/>
  <c r="I86" i="1"/>
  <c r="J86" i="1" s="1"/>
  <c r="K86" i="1" s="1"/>
  <c r="I87" i="1"/>
  <c r="J87" i="1" s="1"/>
  <c r="K87" i="1" s="1"/>
  <c r="I88" i="1"/>
  <c r="J88" i="1" s="1"/>
  <c r="K88" i="1" s="1"/>
  <c r="I89" i="1"/>
  <c r="J89" i="1" s="1"/>
  <c r="K89" i="1" s="1"/>
  <c r="I90" i="1"/>
  <c r="J90" i="1" s="1"/>
  <c r="K90" i="1" s="1"/>
  <c r="I91" i="1"/>
  <c r="J91" i="1" s="1"/>
  <c r="K91" i="1" s="1"/>
  <c r="I92" i="1"/>
  <c r="J92" i="1" s="1"/>
  <c r="K92" i="1" s="1"/>
  <c r="I93" i="1"/>
  <c r="J93" i="1" s="1"/>
  <c r="K93" i="1" s="1"/>
  <c r="I94" i="1"/>
  <c r="J94" i="1" s="1"/>
  <c r="K94" i="1" s="1"/>
  <c r="I95" i="1"/>
  <c r="J95" i="1" s="1"/>
  <c r="K95" i="1" s="1"/>
  <c r="I96" i="1"/>
  <c r="J96" i="1" s="1"/>
  <c r="K96" i="1" s="1"/>
  <c r="I97" i="1"/>
  <c r="J97" i="1" s="1"/>
  <c r="K97" i="1" s="1"/>
  <c r="I98" i="1"/>
  <c r="J98" i="1" s="1"/>
  <c r="K98" i="1" s="1"/>
  <c r="I99" i="1"/>
  <c r="J99" i="1" s="1"/>
  <c r="K99" i="1" s="1"/>
  <c r="I100" i="1"/>
  <c r="J100" i="1" s="1"/>
  <c r="K100" i="1" s="1"/>
  <c r="I101" i="1"/>
  <c r="J101" i="1" s="1"/>
  <c r="K101" i="1" s="1"/>
  <c r="I102" i="1"/>
  <c r="J102" i="1" s="1"/>
  <c r="K102" i="1" s="1"/>
  <c r="I103" i="1"/>
  <c r="J103" i="1" s="1"/>
  <c r="K103" i="1" s="1"/>
  <c r="I104" i="1"/>
  <c r="J104" i="1" s="1"/>
  <c r="K104" i="1" s="1"/>
  <c r="I105" i="1"/>
  <c r="J105" i="1" s="1"/>
  <c r="K105" i="1" s="1"/>
  <c r="I106" i="1"/>
  <c r="J106" i="1" s="1"/>
  <c r="K106" i="1" s="1"/>
  <c r="I107" i="1"/>
  <c r="J107" i="1" s="1"/>
  <c r="K107" i="1" s="1"/>
  <c r="I108" i="1"/>
  <c r="J108" i="1" s="1"/>
  <c r="K108" i="1" s="1"/>
  <c r="I109" i="1"/>
  <c r="J109" i="1" s="1"/>
  <c r="K109" i="1" s="1"/>
  <c r="I110" i="1"/>
  <c r="J110" i="1" s="1"/>
  <c r="K110" i="1" s="1"/>
  <c r="I111" i="1"/>
  <c r="J111" i="1" s="1"/>
  <c r="K111" i="1" s="1"/>
  <c r="I112" i="1"/>
  <c r="J112" i="1" s="1"/>
  <c r="K112" i="1" s="1"/>
  <c r="I113" i="1"/>
  <c r="J113" i="1" s="1"/>
  <c r="K113" i="1" s="1"/>
  <c r="I114" i="1"/>
  <c r="J114" i="1" s="1"/>
  <c r="K114" i="1" s="1"/>
  <c r="I115" i="1"/>
  <c r="J115" i="1" s="1"/>
  <c r="K115" i="1" s="1"/>
  <c r="I116" i="1"/>
  <c r="J116" i="1" s="1"/>
  <c r="K116" i="1" s="1"/>
  <c r="I117" i="1"/>
  <c r="J117" i="1" s="1"/>
  <c r="K117" i="1" s="1"/>
  <c r="I118" i="1"/>
  <c r="J118" i="1" s="1"/>
  <c r="K118" i="1" s="1"/>
  <c r="I119" i="1"/>
  <c r="J119" i="1" s="1"/>
  <c r="K119" i="1" s="1"/>
  <c r="I120" i="1"/>
  <c r="J120" i="1" s="1"/>
  <c r="K120" i="1" s="1"/>
  <c r="I121" i="1"/>
  <c r="J121" i="1" s="1"/>
  <c r="K121" i="1" s="1"/>
  <c r="I122" i="1"/>
  <c r="J122" i="1" s="1"/>
  <c r="K122" i="1" s="1"/>
  <c r="I123" i="1"/>
  <c r="J123" i="1" s="1"/>
  <c r="K123" i="1" s="1"/>
  <c r="I124" i="1"/>
  <c r="J124" i="1" s="1"/>
  <c r="K124" i="1" s="1"/>
  <c r="I125" i="1"/>
  <c r="J125" i="1" s="1"/>
  <c r="K125" i="1" s="1"/>
  <c r="I126" i="1"/>
  <c r="J126" i="1" s="1"/>
  <c r="K126" i="1" s="1"/>
  <c r="I127" i="1"/>
  <c r="J127" i="1" s="1"/>
  <c r="K127" i="1" s="1"/>
  <c r="I128" i="1"/>
  <c r="J128" i="1" s="1"/>
  <c r="K128" i="1" s="1"/>
  <c r="I129" i="1"/>
  <c r="J129" i="1" s="1"/>
  <c r="K129" i="1" s="1"/>
  <c r="I130" i="1"/>
  <c r="J130" i="1" s="1"/>
  <c r="K130" i="1" s="1"/>
  <c r="I131" i="1"/>
  <c r="J131" i="1" s="1"/>
  <c r="K131" i="1" s="1"/>
  <c r="I132" i="1"/>
  <c r="J132" i="1" s="1"/>
  <c r="K132" i="1" s="1"/>
  <c r="I133" i="1"/>
  <c r="J133" i="1" s="1"/>
  <c r="K133" i="1" s="1"/>
  <c r="I134" i="1"/>
  <c r="J134" i="1" s="1"/>
  <c r="K134" i="1" s="1"/>
  <c r="I135" i="1"/>
  <c r="J135" i="1" s="1"/>
  <c r="K135" i="1" s="1"/>
  <c r="I136" i="1"/>
  <c r="J136" i="1" s="1"/>
  <c r="K136" i="1" s="1"/>
  <c r="I137" i="1"/>
  <c r="J137" i="1" s="1"/>
  <c r="K137" i="1" s="1"/>
  <c r="I138" i="1"/>
  <c r="J138" i="1" s="1"/>
  <c r="K138" i="1" s="1"/>
  <c r="I139" i="1"/>
  <c r="J139" i="1" s="1"/>
  <c r="K139" i="1" s="1"/>
  <c r="I140" i="1"/>
  <c r="J140" i="1" s="1"/>
  <c r="K140" i="1" s="1"/>
  <c r="I141" i="1"/>
  <c r="J141" i="1" s="1"/>
  <c r="K141" i="1" s="1"/>
  <c r="I142" i="1"/>
  <c r="J142" i="1" s="1"/>
  <c r="K142" i="1" s="1"/>
  <c r="I143" i="1"/>
  <c r="J143" i="1" s="1"/>
  <c r="K143" i="1" s="1"/>
  <c r="I144" i="1"/>
  <c r="J144" i="1" s="1"/>
  <c r="K144" i="1" s="1"/>
  <c r="I145" i="1"/>
  <c r="J145" i="1" s="1"/>
  <c r="K145" i="1" s="1"/>
  <c r="I146" i="1"/>
  <c r="J146" i="1" s="1"/>
  <c r="K146" i="1" s="1"/>
  <c r="I147" i="1"/>
  <c r="J147" i="1" s="1"/>
  <c r="K147" i="1" s="1"/>
  <c r="I148" i="1"/>
  <c r="J148" i="1" s="1"/>
  <c r="K148" i="1" s="1"/>
  <c r="I149" i="1"/>
  <c r="J149" i="1" s="1"/>
  <c r="K149" i="1" s="1"/>
  <c r="I150" i="1"/>
  <c r="J150" i="1" s="1"/>
  <c r="K150" i="1" s="1"/>
  <c r="I151" i="1"/>
  <c r="J151" i="1" s="1"/>
  <c r="K151" i="1" s="1"/>
  <c r="I152" i="1"/>
  <c r="J152" i="1" s="1"/>
  <c r="K152" i="1" s="1"/>
  <c r="I153" i="1"/>
  <c r="J153" i="1" s="1"/>
  <c r="K153" i="1" s="1"/>
  <c r="I154" i="1"/>
  <c r="J154" i="1" s="1"/>
  <c r="K154" i="1" s="1"/>
  <c r="I155" i="1"/>
  <c r="J155" i="1" s="1"/>
  <c r="K155" i="1" s="1"/>
  <c r="I156" i="1"/>
  <c r="J156" i="1" s="1"/>
  <c r="K156" i="1" s="1"/>
  <c r="I157" i="1"/>
  <c r="J157" i="1" s="1"/>
  <c r="K157" i="1" s="1"/>
  <c r="I158" i="1"/>
  <c r="J158" i="1" s="1"/>
  <c r="K158" i="1" s="1"/>
  <c r="I159" i="1"/>
  <c r="J159" i="1" s="1"/>
  <c r="K159" i="1" s="1"/>
  <c r="I160" i="1"/>
  <c r="J160" i="1" s="1"/>
  <c r="K160" i="1" s="1"/>
  <c r="I161" i="1"/>
  <c r="J161" i="1" s="1"/>
  <c r="K161" i="1" s="1"/>
  <c r="I162" i="1"/>
  <c r="J162" i="1" s="1"/>
  <c r="K162" i="1" s="1"/>
  <c r="I163" i="1"/>
  <c r="J163" i="1" s="1"/>
  <c r="K163" i="1" s="1"/>
  <c r="I164" i="1"/>
  <c r="J164" i="1" s="1"/>
  <c r="K164" i="1" s="1"/>
  <c r="I165" i="1"/>
  <c r="J165" i="1" s="1"/>
  <c r="K165" i="1" s="1"/>
  <c r="I166" i="1"/>
  <c r="J166" i="1" s="1"/>
  <c r="K166" i="1" s="1"/>
  <c r="I167" i="1"/>
  <c r="J167" i="1" s="1"/>
  <c r="K167" i="1" s="1"/>
  <c r="I168" i="1"/>
  <c r="J168" i="1" s="1"/>
  <c r="K168" i="1" s="1"/>
  <c r="I169" i="1"/>
  <c r="J169" i="1" s="1"/>
  <c r="K169" i="1" s="1"/>
  <c r="I170" i="1"/>
  <c r="J170" i="1" s="1"/>
  <c r="K170" i="1" s="1"/>
  <c r="I171" i="1"/>
  <c r="J171" i="1" s="1"/>
  <c r="K171" i="1" s="1"/>
  <c r="I172" i="1"/>
  <c r="J172" i="1" s="1"/>
  <c r="K172" i="1" s="1"/>
  <c r="I173" i="1"/>
  <c r="J173" i="1" s="1"/>
  <c r="K173" i="1" s="1"/>
  <c r="I174" i="1"/>
  <c r="J174" i="1" s="1"/>
  <c r="K174" i="1" s="1"/>
  <c r="I175" i="1"/>
  <c r="J175" i="1" s="1"/>
  <c r="K175" i="1" s="1"/>
  <c r="I176" i="1"/>
  <c r="J176" i="1" s="1"/>
  <c r="K176" i="1" s="1"/>
  <c r="I177" i="1"/>
  <c r="J177" i="1" s="1"/>
  <c r="K177" i="1" s="1"/>
  <c r="I178" i="1"/>
  <c r="J178" i="1" s="1"/>
  <c r="K178" i="1" s="1"/>
  <c r="I179" i="1"/>
  <c r="J179" i="1" s="1"/>
  <c r="K179" i="1" s="1"/>
  <c r="I180" i="1"/>
  <c r="J180" i="1" s="1"/>
  <c r="K180" i="1" s="1"/>
  <c r="I181" i="1"/>
  <c r="J181" i="1" s="1"/>
  <c r="K181" i="1" s="1"/>
  <c r="I182" i="1"/>
  <c r="J182" i="1" s="1"/>
  <c r="K182" i="1" s="1"/>
  <c r="I183" i="1"/>
  <c r="J183" i="1" s="1"/>
  <c r="K183" i="1" s="1"/>
  <c r="I184" i="1"/>
  <c r="J184" i="1" s="1"/>
  <c r="K184" i="1" s="1"/>
  <c r="I185" i="1"/>
  <c r="J185" i="1" s="1"/>
  <c r="K185" i="1" s="1"/>
  <c r="I186" i="1"/>
  <c r="J186" i="1" s="1"/>
  <c r="K186" i="1" s="1"/>
  <c r="I187" i="1"/>
  <c r="J187" i="1" s="1"/>
  <c r="K187" i="1" s="1"/>
  <c r="I188" i="1"/>
  <c r="J188" i="1" s="1"/>
  <c r="K188" i="1" s="1"/>
  <c r="I189" i="1"/>
  <c r="J189" i="1" s="1"/>
  <c r="K189" i="1" s="1"/>
  <c r="I190" i="1"/>
  <c r="J190" i="1" s="1"/>
  <c r="K190" i="1" s="1"/>
  <c r="I191" i="1"/>
  <c r="J191" i="1" s="1"/>
  <c r="K191" i="1" s="1"/>
  <c r="I192" i="1"/>
  <c r="J192" i="1" s="1"/>
  <c r="K192" i="1" s="1"/>
  <c r="I193" i="1"/>
  <c r="J193" i="1" s="1"/>
  <c r="K193" i="1" s="1"/>
  <c r="I194" i="1"/>
  <c r="J194" i="1" s="1"/>
  <c r="K194" i="1" s="1"/>
  <c r="I195" i="1"/>
  <c r="J195" i="1" s="1"/>
  <c r="K195" i="1" s="1"/>
  <c r="I196" i="1"/>
  <c r="J196" i="1" s="1"/>
  <c r="K196" i="1" s="1"/>
  <c r="I197" i="1"/>
  <c r="J197" i="1" s="1"/>
  <c r="K197" i="1" s="1"/>
  <c r="I198" i="1"/>
  <c r="J198" i="1" s="1"/>
  <c r="K198" i="1" s="1"/>
  <c r="I199" i="1"/>
  <c r="J199" i="1" s="1"/>
  <c r="K199" i="1" s="1"/>
  <c r="I200" i="1"/>
  <c r="J200" i="1" s="1"/>
  <c r="K200" i="1" s="1"/>
  <c r="I201" i="1"/>
  <c r="J201" i="1" s="1"/>
  <c r="K201" i="1" s="1"/>
  <c r="I202" i="1"/>
  <c r="J202" i="1" s="1"/>
  <c r="K202" i="1" s="1"/>
  <c r="I203" i="1"/>
  <c r="J203" i="1" s="1"/>
  <c r="K203" i="1" s="1"/>
  <c r="I204" i="1"/>
  <c r="J204" i="1" s="1"/>
  <c r="K204" i="1" s="1"/>
  <c r="I205" i="1"/>
  <c r="J205" i="1" s="1"/>
  <c r="K205" i="1" s="1"/>
  <c r="I206" i="1"/>
  <c r="J206" i="1" s="1"/>
  <c r="K206" i="1" s="1"/>
  <c r="I207" i="1"/>
  <c r="J207" i="1" s="1"/>
  <c r="K207" i="1" s="1"/>
  <c r="I208" i="1"/>
  <c r="J208" i="1" s="1"/>
  <c r="K208" i="1" s="1"/>
  <c r="I209" i="1"/>
  <c r="J209" i="1" s="1"/>
  <c r="K209" i="1" s="1"/>
  <c r="I210" i="1"/>
  <c r="J210" i="1" s="1"/>
  <c r="K210" i="1" s="1"/>
  <c r="I211" i="1"/>
  <c r="J211" i="1" s="1"/>
  <c r="K211" i="1" s="1"/>
  <c r="I212" i="1"/>
  <c r="J212" i="1" s="1"/>
  <c r="K212" i="1" s="1"/>
  <c r="I213" i="1"/>
  <c r="J213" i="1" s="1"/>
  <c r="K213" i="1" s="1"/>
  <c r="I214" i="1"/>
  <c r="J214" i="1" s="1"/>
  <c r="K214" i="1" s="1"/>
  <c r="I215" i="1"/>
  <c r="J215" i="1" s="1"/>
  <c r="K215" i="1" s="1"/>
  <c r="I216" i="1"/>
  <c r="J216" i="1" s="1"/>
  <c r="K216" i="1" s="1"/>
  <c r="I217" i="1"/>
  <c r="J217" i="1" s="1"/>
  <c r="K217" i="1" s="1"/>
  <c r="I218" i="1"/>
  <c r="J218" i="1" s="1"/>
  <c r="K218" i="1" s="1"/>
  <c r="I219" i="1"/>
  <c r="J219" i="1" s="1"/>
  <c r="K219" i="1" s="1"/>
  <c r="I220" i="1"/>
  <c r="J220" i="1" s="1"/>
  <c r="K220" i="1" s="1"/>
  <c r="I221" i="1"/>
  <c r="J221" i="1" s="1"/>
  <c r="K221" i="1" s="1"/>
  <c r="I222" i="1"/>
  <c r="J222" i="1" s="1"/>
  <c r="K222" i="1" s="1"/>
  <c r="I223" i="1"/>
  <c r="J223" i="1" s="1"/>
  <c r="K223" i="1" s="1"/>
  <c r="I224" i="1"/>
  <c r="J224" i="1" s="1"/>
  <c r="K224" i="1" s="1"/>
  <c r="I225" i="1"/>
  <c r="J225" i="1" s="1"/>
  <c r="K225" i="1" s="1"/>
  <c r="I226" i="1"/>
  <c r="J226" i="1" s="1"/>
  <c r="K226" i="1" s="1"/>
  <c r="I227" i="1"/>
  <c r="J227" i="1" s="1"/>
  <c r="K227" i="1" s="1"/>
  <c r="I228" i="1"/>
  <c r="J228" i="1" s="1"/>
  <c r="K228" i="1" s="1"/>
  <c r="I229" i="1"/>
  <c r="J229" i="1" s="1"/>
  <c r="K229" i="1" s="1"/>
  <c r="I230" i="1"/>
  <c r="J230" i="1" s="1"/>
  <c r="K230" i="1" s="1"/>
  <c r="I231" i="1"/>
  <c r="J231" i="1" s="1"/>
  <c r="K231" i="1" s="1"/>
  <c r="I232" i="1"/>
  <c r="J232" i="1" s="1"/>
  <c r="K232" i="1" s="1"/>
  <c r="I233" i="1"/>
  <c r="J233" i="1" s="1"/>
  <c r="K233" i="1" s="1"/>
  <c r="I234" i="1"/>
  <c r="J234" i="1" s="1"/>
  <c r="K234" i="1" s="1"/>
  <c r="I235" i="1"/>
  <c r="J235" i="1" s="1"/>
  <c r="K235" i="1" s="1"/>
  <c r="I236" i="1"/>
  <c r="J236" i="1" s="1"/>
  <c r="K236" i="1" s="1"/>
  <c r="I237" i="1"/>
  <c r="J237" i="1" s="1"/>
  <c r="K237" i="1" s="1"/>
  <c r="I238" i="1"/>
  <c r="J238" i="1" s="1"/>
  <c r="K238" i="1" s="1"/>
  <c r="I239" i="1"/>
  <c r="J239" i="1" s="1"/>
  <c r="K239" i="1" s="1"/>
  <c r="I240" i="1"/>
  <c r="J240" i="1" s="1"/>
  <c r="K240" i="1" s="1"/>
  <c r="I241" i="1"/>
  <c r="J241" i="1" s="1"/>
  <c r="K241" i="1" s="1"/>
  <c r="I242" i="1"/>
  <c r="J242" i="1" s="1"/>
  <c r="K242" i="1" s="1"/>
  <c r="I243" i="1"/>
  <c r="J243" i="1" s="1"/>
  <c r="K243" i="1" s="1"/>
  <c r="I244" i="1"/>
  <c r="J244" i="1" s="1"/>
  <c r="K244" i="1" s="1"/>
  <c r="I245" i="1"/>
  <c r="J245" i="1" s="1"/>
  <c r="K245" i="1" s="1"/>
  <c r="I246" i="1"/>
  <c r="J246" i="1" s="1"/>
  <c r="K246" i="1" s="1"/>
  <c r="I247" i="1"/>
  <c r="J247" i="1" s="1"/>
  <c r="K247" i="1" s="1"/>
  <c r="I248" i="1"/>
  <c r="J248" i="1" s="1"/>
  <c r="K248" i="1" s="1"/>
  <c r="I249" i="1"/>
  <c r="J249" i="1" s="1"/>
  <c r="K249" i="1" s="1"/>
  <c r="I250" i="1"/>
  <c r="J250" i="1" s="1"/>
  <c r="K250" i="1" s="1"/>
  <c r="I251" i="1"/>
  <c r="J251" i="1" s="1"/>
  <c r="K251" i="1" s="1"/>
  <c r="I252" i="1"/>
  <c r="J252" i="1" s="1"/>
  <c r="K252" i="1" s="1"/>
  <c r="I253" i="1"/>
  <c r="J253" i="1" s="1"/>
  <c r="K253" i="1" s="1"/>
  <c r="I254" i="1"/>
  <c r="J254" i="1" s="1"/>
  <c r="K254" i="1" s="1"/>
  <c r="I255" i="1"/>
  <c r="J255" i="1" s="1"/>
  <c r="K255" i="1" s="1"/>
  <c r="I256" i="1"/>
  <c r="J256" i="1" s="1"/>
  <c r="K256" i="1" s="1"/>
  <c r="I257" i="1"/>
  <c r="J257" i="1" s="1"/>
  <c r="K257" i="1" s="1"/>
  <c r="I258" i="1"/>
  <c r="J258" i="1" s="1"/>
  <c r="K258" i="1" s="1"/>
  <c r="I259" i="1"/>
  <c r="J259" i="1" s="1"/>
  <c r="K259" i="1" s="1"/>
  <c r="I260" i="1"/>
  <c r="J260" i="1" s="1"/>
  <c r="K260" i="1" s="1"/>
  <c r="I261" i="1"/>
  <c r="J261" i="1" s="1"/>
  <c r="K261" i="1" s="1"/>
  <c r="I262" i="1"/>
  <c r="J262" i="1" s="1"/>
  <c r="K262" i="1" s="1"/>
  <c r="I263" i="1"/>
  <c r="J263" i="1" s="1"/>
  <c r="K263" i="1" s="1"/>
  <c r="I264" i="1"/>
  <c r="J264" i="1" s="1"/>
  <c r="K264" i="1" s="1"/>
  <c r="I265" i="1"/>
  <c r="J265" i="1" s="1"/>
  <c r="K265" i="1" s="1"/>
  <c r="I266" i="1"/>
  <c r="J266" i="1" s="1"/>
  <c r="K266" i="1" s="1"/>
  <c r="I267" i="1"/>
  <c r="J267" i="1" s="1"/>
  <c r="K267" i="1" s="1"/>
  <c r="I268" i="1"/>
  <c r="J268" i="1" s="1"/>
  <c r="K268" i="1" s="1"/>
  <c r="I269" i="1"/>
  <c r="J269" i="1" s="1"/>
  <c r="K269" i="1" s="1"/>
  <c r="I270" i="1"/>
  <c r="J270" i="1" s="1"/>
  <c r="K270" i="1" s="1"/>
  <c r="I271" i="1"/>
  <c r="J271" i="1" s="1"/>
  <c r="K271" i="1" s="1"/>
  <c r="I272" i="1"/>
  <c r="J272" i="1" s="1"/>
  <c r="K272" i="1" s="1"/>
  <c r="I273" i="1"/>
  <c r="J273" i="1" s="1"/>
  <c r="K273" i="1" s="1"/>
  <c r="I274" i="1"/>
  <c r="J274" i="1" s="1"/>
  <c r="K274" i="1" s="1"/>
  <c r="I275" i="1"/>
  <c r="J275" i="1" s="1"/>
  <c r="K275" i="1" s="1"/>
  <c r="I276" i="1"/>
  <c r="J276" i="1" s="1"/>
  <c r="K276" i="1" s="1"/>
  <c r="I277" i="1"/>
  <c r="J277" i="1" s="1"/>
  <c r="K277" i="1" s="1"/>
  <c r="I278" i="1"/>
  <c r="J278" i="1" s="1"/>
  <c r="K278" i="1" s="1"/>
  <c r="I279" i="1"/>
  <c r="J279" i="1" s="1"/>
  <c r="K279" i="1" s="1"/>
  <c r="I280" i="1"/>
  <c r="J280" i="1" s="1"/>
  <c r="K280" i="1" s="1"/>
  <c r="I281" i="1"/>
  <c r="J281" i="1" s="1"/>
  <c r="K281" i="1" s="1"/>
  <c r="I282" i="1"/>
  <c r="J282" i="1" s="1"/>
  <c r="K282" i="1" s="1"/>
  <c r="I283" i="1"/>
  <c r="J283" i="1" s="1"/>
  <c r="K283" i="1" s="1"/>
  <c r="I284" i="1"/>
  <c r="J284" i="1" s="1"/>
  <c r="K284" i="1" s="1"/>
  <c r="I285" i="1"/>
  <c r="J285" i="1" s="1"/>
  <c r="K285" i="1" s="1"/>
  <c r="I286" i="1"/>
  <c r="J286" i="1" s="1"/>
  <c r="K286" i="1" s="1"/>
  <c r="I287" i="1"/>
  <c r="J287" i="1" s="1"/>
  <c r="K287" i="1" s="1"/>
  <c r="I288" i="1"/>
  <c r="J288" i="1" s="1"/>
  <c r="K288" i="1" s="1"/>
  <c r="I289" i="1"/>
  <c r="J289" i="1" s="1"/>
  <c r="K289" i="1" s="1"/>
  <c r="I290" i="1"/>
  <c r="J290" i="1" s="1"/>
  <c r="K290" i="1" s="1"/>
  <c r="I291" i="1"/>
  <c r="J291" i="1" s="1"/>
  <c r="K291" i="1" s="1"/>
  <c r="I292" i="1"/>
  <c r="J292" i="1" s="1"/>
  <c r="K292" i="1" s="1"/>
  <c r="I293" i="1"/>
  <c r="J293" i="1" s="1"/>
  <c r="K293" i="1" s="1"/>
  <c r="I294" i="1"/>
  <c r="J294" i="1" s="1"/>
  <c r="K294" i="1" s="1"/>
  <c r="I295" i="1"/>
  <c r="J295" i="1" s="1"/>
  <c r="K295" i="1" s="1"/>
  <c r="I296" i="1"/>
  <c r="J296" i="1" s="1"/>
  <c r="K296" i="1" s="1"/>
  <c r="I297" i="1"/>
  <c r="J297" i="1" s="1"/>
  <c r="K297" i="1" s="1"/>
  <c r="I298" i="1"/>
  <c r="J298" i="1" s="1"/>
  <c r="K298" i="1" s="1"/>
  <c r="I299" i="1"/>
  <c r="J299" i="1" s="1"/>
  <c r="K299" i="1" s="1"/>
  <c r="I300" i="1"/>
  <c r="J300" i="1" s="1"/>
  <c r="K300" i="1" s="1"/>
  <c r="I301" i="1"/>
  <c r="J301" i="1" s="1"/>
  <c r="K301" i="1" s="1"/>
  <c r="I302" i="1"/>
  <c r="J302" i="1" s="1"/>
  <c r="K302" i="1" s="1"/>
  <c r="I303" i="1"/>
  <c r="J303" i="1" s="1"/>
  <c r="K303" i="1" s="1"/>
  <c r="I304" i="1"/>
  <c r="J304" i="1" s="1"/>
  <c r="K304" i="1" s="1"/>
  <c r="I305" i="1"/>
  <c r="J305" i="1" s="1"/>
  <c r="K305" i="1" s="1"/>
  <c r="I306" i="1"/>
  <c r="J306" i="1" s="1"/>
  <c r="K306" i="1" s="1"/>
  <c r="I307" i="1"/>
  <c r="J307" i="1" s="1"/>
  <c r="K307" i="1" s="1"/>
  <c r="I308" i="1"/>
  <c r="J308" i="1" s="1"/>
  <c r="K308" i="1" s="1"/>
  <c r="I309" i="1"/>
  <c r="J309" i="1" s="1"/>
  <c r="K309" i="1" s="1"/>
  <c r="I310" i="1"/>
  <c r="J310" i="1" s="1"/>
  <c r="K310" i="1" s="1"/>
  <c r="I311" i="1"/>
  <c r="J311" i="1" s="1"/>
  <c r="K311" i="1" s="1"/>
  <c r="I312" i="1"/>
  <c r="J312" i="1" s="1"/>
  <c r="K312" i="1" s="1"/>
  <c r="I313" i="1"/>
  <c r="J313" i="1" s="1"/>
  <c r="K313" i="1" s="1"/>
  <c r="I314" i="1"/>
  <c r="J314" i="1" s="1"/>
  <c r="K314" i="1" s="1"/>
  <c r="I315" i="1"/>
  <c r="J315" i="1" s="1"/>
  <c r="K315" i="1" s="1"/>
  <c r="I316" i="1"/>
  <c r="J316" i="1" s="1"/>
  <c r="K316" i="1" s="1"/>
  <c r="I317" i="1"/>
  <c r="J317" i="1" s="1"/>
  <c r="K317" i="1" s="1"/>
  <c r="I318" i="1"/>
  <c r="J318" i="1" s="1"/>
  <c r="K318" i="1" s="1"/>
  <c r="I319" i="1"/>
  <c r="J319" i="1" s="1"/>
  <c r="K319" i="1" s="1"/>
  <c r="I320" i="1"/>
  <c r="J320" i="1" s="1"/>
  <c r="K320" i="1" s="1"/>
  <c r="I321" i="1"/>
  <c r="J321" i="1" s="1"/>
  <c r="K321" i="1" s="1"/>
  <c r="I322" i="1"/>
  <c r="J322" i="1" s="1"/>
  <c r="K322" i="1" s="1"/>
  <c r="I323" i="1"/>
  <c r="J323" i="1" s="1"/>
  <c r="K323" i="1" s="1"/>
  <c r="I324" i="1"/>
  <c r="J324" i="1" s="1"/>
  <c r="K324" i="1" s="1"/>
  <c r="I325" i="1"/>
  <c r="J325" i="1" s="1"/>
  <c r="K325" i="1" s="1"/>
  <c r="I326" i="1"/>
  <c r="J326" i="1" s="1"/>
  <c r="K326" i="1" s="1"/>
  <c r="I327" i="1"/>
  <c r="J327" i="1" s="1"/>
  <c r="K327" i="1" s="1"/>
  <c r="I328" i="1"/>
  <c r="J328" i="1" s="1"/>
  <c r="K328" i="1" s="1"/>
  <c r="I329" i="1"/>
  <c r="J329" i="1" s="1"/>
  <c r="K329" i="1" s="1"/>
  <c r="I330" i="1"/>
  <c r="J330" i="1" s="1"/>
  <c r="K330" i="1" s="1"/>
  <c r="I331" i="1"/>
  <c r="J331" i="1" s="1"/>
  <c r="K331" i="1" s="1"/>
  <c r="I332" i="1"/>
  <c r="J332" i="1" s="1"/>
  <c r="K332" i="1" s="1"/>
  <c r="I333" i="1"/>
  <c r="J333" i="1" s="1"/>
  <c r="K333" i="1" s="1"/>
  <c r="I334" i="1"/>
  <c r="J334" i="1" s="1"/>
  <c r="K334" i="1" s="1"/>
  <c r="I335" i="1"/>
  <c r="J335" i="1" s="1"/>
  <c r="K335" i="1" s="1"/>
  <c r="I336" i="1"/>
  <c r="J336" i="1" s="1"/>
  <c r="K336" i="1" s="1"/>
  <c r="I337" i="1"/>
  <c r="J337" i="1" s="1"/>
  <c r="K337" i="1" s="1"/>
  <c r="I338" i="1"/>
  <c r="J338" i="1" s="1"/>
  <c r="K338" i="1" s="1"/>
  <c r="I339" i="1"/>
  <c r="J339" i="1" s="1"/>
  <c r="K339" i="1" s="1"/>
  <c r="I340" i="1"/>
  <c r="J340" i="1" s="1"/>
  <c r="K340" i="1" s="1"/>
  <c r="I341" i="1"/>
  <c r="J341" i="1" s="1"/>
  <c r="K341" i="1" s="1"/>
  <c r="I342" i="1"/>
  <c r="J342" i="1" s="1"/>
  <c r="K342" i="1" s="1"/>
  <c r="I343" i="1"/>
  <c r="J343" i="1" s="1"/>
  <c r="K343" i="1" s="1"/>
  <c r="I344" i="1"/>
  <c r="J344" i="1" s="1"/>
  <c r="K344" i="1" s="1"/>
  <c r="I345" i="1"/>
  <c r="J345" i="1" s="1"/>
  <c r="K345" i="1" s="1"/>
  <c r="I346" i="1"/>
  <c r="J346" i="1" s="1"/>
  <c r="K346" i="1" s="1"/>
  <c r="I347" i="1"/>
  <c r="J347" i="1" s="1"/>
  <c r="K347" i="1" s="1"/>
  <c r="I348" i="1"/>
  <c r="J348" i="1" s="1"/>
  <c r="K348" i="1" s="1"/>
  <c r="I349" i="1"/>
  <c r="J349" i="1" s="1"/>
  <c r="K349" i="1" s="1"/>
  <c r="I350" i="1"/>
  <c r="J350" i="1" s="1"/>
  <c r="K350" i="1" s="1"/>
  <c r="I351" i="1"/>
  <c r="J351" i="1" s="1"/>
  <c r="K351" i="1" s="1"/>
  <c r="I352" i="1"/>
  <c r="J352" i="1" s="1"/>
  <c r="K352" i="1" s="1"/>
  <c r="I353" i="1"/>
  <c r="J353" i="1" s="1"/>
  <c r="K353" i="1" s="1"/>
  <c r="I354" i="1"/>
  <c r="J354" i="1" s="1"/>
  <c r="K354" i="1" s="1"/>
  <c r="I355" i="1"/>
  <c r="J355" i="1" s="1"/>
  <c r="K355" i="1" s="1"/>
  <c r="I356" i="1"/>
  <c r="J356" i="1" s="1"/>
  <c r="K356" i="1" s="1"/>
  <c r="I357" i="1"/>
  <c r="J357" i="1" s="1"/>
  <c r="K357" i="1" s="1"/>
  <c r="I358" i="1"/>
  <c r="J358" i="1" s="1"/>
  <c r="K358" i="1" s="1"/>
  <c r="I359" i="1"/>
  <c r="J359" i="1" s="1"/>
  <c r="K359" i="1" s="1"/>
  <c r="I360" i="1"/>
  <c r="J360" i="1" s="1"/>
  <c r="K360" i="1" s="1"/>
  <c r="I361" i="1"/>
  <c r="J361" i="1" s="1"/>
  <c r="K361" i="1" s="1"/>
  <c r="I362" i="1"/>
  <c r="J362" i="1" s="1"/>
  <c r="K362" i="1" s="1"/>
  <c r="I363" i="1"/>
  <c r="J363" i="1" s="1"/>
  <c r="K363" i="1" s="1"/>
  <c r="I364" i="1"/>
  <c r="J364" i="1" s="1"/>
  <c r="K364" i="1" s="1"/>
  <c r="I365" i="1"/>
  <c r="J365" i="1" s="1"/>
  <c r="K365" i="1" s="1"/>
  <c r="I366" i="1"/>
  <c r="J366" i="1" s="1"/>
  <c r="K366" i="1" s="1"/>
  <c r="I367" i="1"/>
  <c r="J367" i="1" s="1"/>
  <c r="K367" i="1" s="1"/>
  <c r="I368" i="1"/>
  <c r="J368" i="1" s="1"/>
  <c r="K368" i="1" s="1"/>
  <c r="I369" i="1"/>
  <c r="J369" i="1" s="1"/>
  <c r="K369" i="1" s="1"/>
  <c r="I370" i="1"/>
  <c r="J370" i="1" s="1"/>
  <c r="K370" i="1" s="1"/>
  <c r="I371" i="1"/>
  <c r="J371" i="1" s="1"/>
  <c r="K371" i="1" s="1"/>
  <c r="I372" i="1"/>
  <c r="J372" i="1" s="1"/>
  <c r="K372" i="1" s="1"/>
  <c r="I373" i="1"/>
  <c r="J373" i="1" s="1"/>
  <c r="K373" i="1" s="1"/>
  <c r="I374" i="1"/>
  <c r="J374" i="1" s="1"/>
  <c r="K374" i="1" s="1"/>
  <c r="I375" i="1"/>
  <c r="J375" i="1" s="1"/>
  <c r="K375" i="1" s="1"/>
  <c r="I376" i="1"/>
  <c r="J376" i="1" s="1"/>
  <c r="K376" i="1" s="1"/>
  <c r="I377" i="1"/>
  <c r="J377" i="1" s="1"/>
  <c r="K377" i="1" s="1"/>
  <c r="I378" i="1"/>
  <c r="J378" i="1" s="1"/>
  <c r="K378" i="1" s="1"/>
  <c r="I379" i="1"/>
  <c r="J379" i="1" s="1"/>
  <c r="K379" i="1" s="1"/>
  <c r="I380" i="1"/>
  <c r="J380" i="1" s="1"/>
  <c r="K380" i="1" s="1"/>
  <c r="I381" i="1"/>
  <c r="J381" i="1" s="1"/>
  <c r="K381" i="1" s="1"/>
  <c r="I382" i="1"/>
  <c r="J382" i="1" s="1"/>
  <c r="K382" i="1" s="1"/>
  <c r="I383" i="1"/>
  <c r="J383" i="1" s="1"/>
  <c r="K383" i="1" s="1"/>
  <c r="I384" i="1"/>
  <c r="J384" i="1" s="1"/>
  <c r="K384" i="1" s="1"/>
  <c r="I385" i="1"/>
  <c r="J385" i="1" s="1"/>
  <c r="K385" i="1" s="1"/>
  <c r="I386" i="1"/>
  <c r="J386" i="1" s="1"/>
  <c r="K386" i="1" s="1"/>
  <c r="I387" i="1"/>
  <c r="J387" i="1" s="1"/>
  <c r="K387" i="1" s="1"/>
  <c r="J388" i="1"/>
  <c r="K388" i="1" s="1"/>
  <c r="C432" i="6"/>
  <c r="C401" i="6"/>
  <c r="C465" i="6"/>
  <c r="C410" i="6"/>
  <c r="C474" i="6"/>
  <c r="C431" i="6"/>
  <c r="C451" i="6"/>
  <c r="C445" i="6"/>
  <c r="C423" i="6"/>
  <c r="C436" i="6"/>
  <c r="C421" i="6"/>
  <c r="C415" i="6"/>
  <c r="C447" i="6"/>
  <c r="C390" i="6"/>
  <c r="C440" i="6"/>
  <c r="C409" i="6"/>
  <c r="C473" i="6"/>
  <c r="C418" i="6"/>
  <c r="C395" i="6"/>
  <c r="C444" i="6"/>
  <c r="C439" i="6"/>
  <c r="C419" i="6"/>
  <c r="C448" i="6"/>
  <c r="C417" i="6"/>
  <c r="C481" i="6"/>
  <c r="C426" i="6"/>
  <c r="C405" i="6"/>
  <c r="C403" i="6"/>
  <c r="C467" i="6"/>
  <c r="C398" i="6"/>
  <c r="C471" i="6"/>
  <c r="C452" i="6"/>
  <c r="C461" i="6"/>
  <c r="C463" i="6"/>
  <c r="C438" i="6"/>
  <c r="C396" i="6"/>
  <c r="C477" i="6"/>
  <c r="C433" i="6"/>
  <c r="C485" i="6"/>
  <c r="C404" i="6"/>
  <c r="C392" i="6"/>
  <c r="C456" i="6"/>
  <c r="C425" i="6"/>
  <c r="C434" i="6"/>
  <c r="C453" i="6"/>
  <c r="C411" i="6"/>
  <c r="C475" i="6"/>
  <c r="C414" i="6"/>
  <c r="C460" i="6"/>
  <c r="C479" i="6"/>
  <c r="C468" i="6"/>
  <c r="C408" i="6"/>
  <c r="C472" i="6"/>
  <c r="C441" i="6"/>
  <c r="C455" i="6"/>
  <c r="C450" i="6"/>
  <c r="C406" i="6"/>
  <c r="C427" i="6"/>
  <c r="C397" i="6"/>
  <c r="C462" i="6"/>
  <c r="C412" i="6"/>
  <c r="C476" i="6"/>
  <c r="C422" i="6"/>
  <c r="C459" i="6"/>
  <c r="C400" i="6"/>
  <c r="C399" i="6"/>
  <c r="C430" i="6"/>
  <c r="C416" i="6"/>
  <c r="C480" i="6"/>
  <c r="C449" i="6"/>
  <c r="C394" i="6"/>
  <c r="C458" i="6"/>
  <c r="C446" i="6"/>
  <c r="C435" i="6"/>
  <c r="C413" i="6"/>
  <c r="C478" i="6"/>
  <c r="C420" i="6"/>
  <c r="C484" i="6"/>
  <c r="C454" i="6"/>
  <c r="C469" i="6"/>
  <c r="C424" i="6"/>
  <c r="C393" i="6"/>
  <c r="C457" i="6"/>
  <c r="C402" i="6"/>
  <c r="C466" i="6"/>
  <c r="C391" i="6"/>
  <c r="C443" i="6"/>
  <c r="C429" i="6"/>
  <c r="C407" i="6"/>
  <c r="C428" i="6"/>
  <c r="C389" i="6"/>
  <c r="C470" i="6"/>
  <c r="C482" i="6"/>
  <c r="C437" i="6"/>
  <c r="C464" i="6"/>
  <c r="C442" i="6"/>
  <c r="C483" i="6"/>
  <c r="K11" i="1" l="1"/>
  <c r="K3" i="1"/>
  <c r="K9" i="1"/>
  <c r="K2" i="1"/>
  <c r="K13" i="1"/>
  <c r="K6" i="1"/>
  <c r="K5" i="1"/>
  <c r="J15" i="1"/>
  <c r="K15" i="1" s="1"/>
  <c r="J14" i="1"/>
  <c r="K14" i="1" s="1"/>
  <c r="K7" i="1"/>
  <c r="K8" i="1"/>
  <c r="K10" i="1"/>
  <c r="K12" i="1"/>
  <c r="K4" i="1"/>
  <c r="D483" i="6"/>
  <c r="E407" i="6"/>
  <c r="D424" i="6"/>
  <c r="D480" i="6"/>
  <c r="D472" i="6"/>
  <c r="D392" i="6"/>
  <c r="D467" i="6"/>
  <c r="D473" i="6"/>
  <c r="D474" i="6"/>
  <c r="D453" i="6"/>
  <c r="D423" i="6"/>
  <c r="E415" i="6"/>
  <c r="D444" i="6"/>
  <c r="E445" i="6"/>
  <c r="E483" i="6"/>
  <c r="D482" i="6"/>
  <c r="D407" i="6"/>
  <c r="D466" i="6"/>
  <c r="E424" i="6"/>
  <c r="E420" i="6"/>
  <c r="E446" i="6"/>
  <c r="E400" i="6"/>
  <c r="E406" i="6"/>
  <c r="E460" i="6"/>
  <c r="E392" i="6"/>
  <c r="E467" i="6"/>
  <c r="D447" i="6"/>
  <c r="E444" i="6"/>
  <c r="D442" i="6"/>
  <c r="D470" i="6"/>
  <c r="D429" i="6"/>
  <c r="D402" i="6"/>
  <c r="D469" i="6"/>
  <c r="E478" i="6"/>
  <c r="E458" i="6"/>
  <c r="E416" i="6"/>
  <c r="D459" i="6"/>
  <c r="D462" i="6"/>
  <c r="D450" i="6"/>
  <c r="E408" i="6"/>
  <c r="D414" i="6"/>
  <c r="E434" i="6"/>
  <c r="D404" i="6"/>
  <c r="E452" i="6"/>
  <c r="E409" i="6"/>
  <c r="E442" i="6"/>
  <c r="E470" i="6"/>
  <c r="E429" i="6"/>
  <c r="E402" i="6"/>
  <c r="E469" i="6"/>
  <c r="D478" i="6"/>
  <c r="D458" i="6"/>
  <c r="D416" i="6"/>
  <c r="E459" i="6"/>
  <c r="E462" i="6"/>
  <c r="E450" i="6"/>
  <c r="D408" i="6"/>
  <c r="E414" i="6"/>
  <c r="D434" i="6"/>
  <c r="E404" i="6"/>
  <c r="E396" i="6"/>
  <c r="D452" i="6"/>
  <c r="D403" i="6"/>
  <c r="D409" i="6"/>
  <c r="D464" i="6"/>
  <c r="D389" i="6"/>
  <c r="D443" i="6"/>
  <c r="E457" i="6"/>
  <c r="E454" i="6"/>
  <c r="E413" i="6"/>
  <c r="E394" i="6"/>
  <c r="D430" i="6"/>
  <c r="E422" i="6"/>
  <c r="D397" i="6"/>
  <c r="E455" i="6"/>
  <c r="D468" i="6"/>
  <c r="E475" i="6"/>
  <c r="D425" i="6"/>
  <c r="E485" i="6"/>
  <c r="E438" i="6"/>
  <c r="D471" i="6"/>
  <c r="D405" i="6"/>
  <c r="E448" i="6"/>
  <c r="D395" i="6"/>
  <c r="D440" i="6"/>
  <c r="E421" i="6"/>
  <c r="E451" i="6"/>
  <c r="D465" i="6"/>
  <c r="D396" i="6"/>
  <c r="D410" i="6"/>
  <c r="E464" i="6"/>
  <c r="E389" i="6"/>
  <c r="E443" i="6"/>
  <c r="D457" i="6"/>
  <c r="D454" i="6"/>
  <c r="D413" i="6"/>
  <c r="D394" i="6"/>
  <c r="E430" i="6"/>
  <c r="D422" i="6"/>
  <c r="E397" i="6"/>
  <c r="D455" i="6"/>
  <c r="E468" i="6"/>
  <c r="D475" i="6"/>
  <c r="E425" i="6"/>
  <c r="D485" i="6"/>
  <c r="D438" i="6"/>
  <c r="E471" i="6"/>
  <c r="E405" i="6"/>
  <c r="D448" i="6"/>
  <c r="E395" i="6"/>
  <c r="E440" i="6"/>
  <c r="D421" i="6"/>
  <c r="D451" i="6"/>
  <c r="E465" i="6"/>
  <c r="D437" i="6"/>
  <c r="E428" i="6"/>
  <c r="D391" i="6"/>
  <c r="D393" i="6"/>
  <c r="D484" i="6"/>
  <c r="E435" i="6"/>
  <c r="E449" i="6"/>
  <c r="E399" i="6"/>
  <c r="D476" i="6"/>
  <c r="D427" i="6"/>
  <c r="D479" i="6"/>
  <c r="D411" i="6"/>
  <c r="E456" i="6"/>
  <c r="D433" i="6"/>
  <c r="E463" i="6"/>
  <c r="E398" i="6"/>
  <c r="E419" i="6"/>
  <c r="E418" i="6"/>
  <c r="E436" i="6"/>
  <c r="D431" i="6"/>
  <c r="E472" i="6"/>
  <c r="E461" i="6"/>
  <c r="E473" i="6"/>
  <c r="E432" i="6"/>
  <c r="E417" i="6"/>
  <c r="D445" i="6"/>
  <c r="D415" i="6"/>
  <c r="E441" i="6"/>
  <c r="E426" i="6"/>
  <c r="D390" i="6"/>
  <c r="E401" i="6"/>
  <c r="E412" i="6"/>
  <c r="E481" i="6"/>
  <c r="D417" i="6"/>
  <c r="E410" i="6"/>
  <c r="E437" i="6"/>
  <c r="D428" i="6"/>
  <c r="E391" i="6"/>
  <c r="E393" i="6"/>
  <c r="E484" i="6"/>
  <c r="D435" i="6"/>
  <c r="D449" i="6"/>
  <c r="D399" i="6"/>
  <c r="E476" i="6"/>
  <c r="E427" i="6"/>
  <c r="D441" i="6"/>
  <c r="E479" i="6"/>
  <c r="E411" i="6"/>
  <c r="D456" i="6"/>
  <c r="E433" i="6"/>
  <c r="D463" i="6"/>
  <c r="D398" i="6"/>
  <c r="D426" i="6"/>
  <c r="D419" i="6"/>
  <c r="D418" i="6"/>
  <c r="E390" i="6"/>
  <c r="D436" i="6"/>
  <c r="E431" i="6"/>
  <c r="D401" i="6"/>
  <c r="E482" i="6"/>
  <c r="E466" i="6"/>
  <c r="D420" i="6"/>
  <c r="D446" i="6"/>
  <c r="D400" i="6"/>
  <c r="D412" i="6"/>
  <c r="D406" i="6"/>
  <c r="D460" i="6"/>
  <c r="E453" i="6"/>
  <c r="E477" i="6"/>
  <c r="D461" i="6"/>
  <c r="D481" i="6"/>
  <c r="E439" i="6"/>
  <c r="E447" i="6"/>
  <c r="E423" i="6"/>
  <c r="D432" i="6"/>
  <c r="E480" i="6"/>
  <c r="D477" i="6"/>
  <c r="D439" i="6"/>
  <c r="E474" i="6"/>
  <c r="E403" i="6"/>
</calcChain>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Vishalini_Retail_Analytics_Final.xlsx!Table1" type="102" refreshedVersion="6" minRefreshableVersion="5">
    <extLst>
      <ext xmlns:x15="http://schemas.microsoft.com/office/spreadsheetml/2010/11/main" uri="{DE250136-89BD-433C-8126-D09CA5730AF9}">
        <x15:connection id="Table1" autoDelete="1">
          <x15:rangePr sourceName="_xlcn.WorksheetConnection_Vishalini_Retail_Analytics_Final.xlsxTable11"/>
        </x15:connection>
      </ext>
    </extLst>
  </connection>
</connections>
</file>

<file path=xl/sharedStrings.xml><?xml version="1.0" encoding="utf-8"?>
<sst xmlns="http://schemas.openxmlformats.org/spreadsheetml/2006/main" count="1128" uniqueCount="304">
  <si>
    <t>Date</t>
  </si>
  <si>
    <t>Category</t>
  </si>
  <si>
    <t>Sales</t>
  </si>
  <si>
    <t>Quantity</t>
  </si>
  <si>
    <t>Profit</t>
  </si>
  <si>
    <t>Region</t>
  </si>
  <si>
    <t>Electronics</t>
  </si>
  <si>
    <t>North</t>
  </si>
  <si>
    <t>Clothing</t>
  </si>
  <si>
    <t>East</t>
  </si>
  <si>
    <t>South</t>
  </si>
  <si>
    <t>West</t>
  </si>
  <si>
    <t>Books</t>
  </si>
  <si>
    <t>Unknown</t>
  </si>
  <si>
    <t>Row Labels</t>
  </si>
  <si>
    <t>Grand Total</t>
  </si>
  <si>
    <t>Sum of Sales</t>
  </si>
  <si>
    <t>Forecast(Profit)</t>
  </si>
  <si>
    <t>Lower Confidence Bound(Profit)</t>
  </si>
  <si>
    <t>Upper Confidence Bound(Profit)</t>
  </si>
  <si>
    <t>Average Daily Demand</t>
  </si>
  <si>
    <t>Lead Time</t>
  </si>
  <si>
    <t>Standard Deviation of Demand</t>
  </si>
  <si>
    <t>Safety Stock</t>
  </si>
  <si>
    <t>Reorder Point</t>
  </si>
  <si>
    <t>Sports</t>
  </si>
  <si>
    <t>Average Sales</t>
  </si>
  <si>
    <t>Home Goods</t>
  </si>
  <si>
    <t>Null</t>
  </si>
  <si>
    <t>Sum of Quantity</t>
  </si>
  <si>
    <t>Month</t>
  </si>
  <si>
    <t>Apr</t>
  </si>
  <si>
    <t>Aug</t>
  </si>
  <si>
    <t>Dec</t>
  </si>
  <si>
    <t>Feb</t>
  </si>
  <si>
    <t>Jan</t>
  </si>
  <si>
    <t>Jul</t>
  </si>
  <si>
    <t>Jun</t>
  </si>
  <si>
    <t>Mar</t>
  </si>
  <si>
    <t>May</t>
  </si>
  <si>
    <t>Nov</t>
  </si>
  <si>
    <t>Oct</t>
  </si>
  <si>
    <t>Sep</t>
  </si>
  <si>
    <t>0</t>
  </si>
  <si>
    <t>Average of Safety Stock</t>
  </si>
  <si>
    <t>RETAIL SALES AND INVENTORY ANALYSIS DASHBOARD</t>
  </si>
  <si>
    <t>TOTAL SALES</t>
  </si>
  <si>
    <t>TOTAL PROFIT</t>
  </si>
  <si>
    <t>Total Quantity</t>
  </si>
  <si>
    <t>SQL Analytics</t>
  </si>
  <si>
    <t>Metric</t>
  </si>
  <si>
    <t>SQL Query</t>
  </si>
  <si>
    <t>Excel Result</t>
  </si>
  <si>
    <t>Business Meaning</t>
  </si>
  <si>
    <t>Total Sales</t>
  </si>
  <si>
    <t>Total Profit</t>
  </si>
  <si>
    <t>SELECT SUM(Sales) AS Total_Sales FROM RetailSales;</t>
  </si>
  <si>
    <t>SELECT SUM(Profit) AS Total_Profit FROM RetailSales;</t>
  </si>
  <si>
    <t>SELECT SUM(Quantity) AS Total_Quantity FROM RetailSales;</t>
  </si>
  <si>
    <t>SELECT AVG(Sales) AS Average_Sales FROM RetailSales;</t>
  </si>
  <si>
    <t>Total revenue generated by all transactions</t>
  </si>
  <si>
    <t>Overall profitability generated by the transactions</t>
  </si>
  <si>
    <t>Total number of units sold</t>
  </si>
  <si>
    <t>Average sales value per transaction</t>
  </si>
  <si>
    <t>SALES BY CATEGORY</t>
  </si>
  <si>
    <t>SELECT Category, SUM(Sales) AS Total_Sales FROM RetailSales GROUP BY Category ORDER BY Total_Sales DESC;</t>
  </si>
  <si>
    <t>Sales by Region</t>
  </si>
  <si>
    <t>SELECT Region, SUM(Sales) AS Total_Sales FROM RetailSales GROUP BY Region ORDER BY Total_Sales DESC;</t>
  </si>
  <si>
    <t>AVERAGE DAILY DEMAND</t>
  </si>
  <si>
    <t>SELECT Date, SUM(Quantity) AS Daily_Demand FROM RetailSales GROUP BY Date ORDER BY Date;</t>
  </si>
  <si>
    <t>1/13/2023</t>
  </si>
  <si>
    <t>1/14/2023</t>
  </si>
  <si>
    <t>1/15/2023</t>
  </si>
  <si>
    <t>1/16/2023</t>
  </si>
  <si>
    <t>1/17/2023</t>
  </si>
  <si>
    <t>1/18/2023</t>
  </si>
  <si>
    <t>1/19/2023</t>
  </si>
  <si>
    <t>1/20/2023</t>
  </si>
  <si>
    <t>1/21/2023</t>
  </si>
  <si>
    <t>1/22/2023</t>
  </si>
  <si>
    <t>1/23/2023</t>
  </si>
  <si>
    <t>1/24/2023</t>
  </si>
  <si>
    <t>1/25/2023</t>
  </si>
  <si>
    <t>1/26/2023</t>
  </si>
  <si>
    <t>1/27/2023</t>
  </si>
  <si>
    <t>1/28/2023</t>
  </si>
  <si>
    <t>1/29/2023</t>
  </si>
  <si>
    <t>1/30/2023</t>
  </si>
  <si>
    <t>1/31/2023</t>
  </si>
  <si>
    <t>10/13/2023</t>
  </si>
  <si>
    <t>10/14/2023</t>
  </si>
  <si>
    <t>10/15/2023</t>
  </si>
  <si>
    <t>10/16/2023</t>
  </si>
  <si>
    <t>10/17/2023</t>
  </si>
  <si>
    <t>10/18/2023</t>
  </si>
  <si>
    <t>10/19/2023</t>
  </si>
  <si>
    <t>10/20/2023</t>
  </si>
  <si>
    <t>10/21/2023</t>
  </si>
  <si>
    <t>10/22/2023</t>
  </si>
  <si>
    <t>10/23/2023</t>
  </si>
  <si>
    <t>10/24/2023</t>
  </si>
  <si>
    <t>10/25/2023</t>
  </si>
  <si>
    <t>10/26/2023</t>
  </si>
  <si>
    <t>10/27/2023</t>
  </si>
  <si>
    <t>10/28/2023</t>
  </si>
  <si>
    <t>10/29/2023</t>
  </si>
  <si>
    <t>10/30/2023</t>
  </si>
  <si>
    <t>10/31/2023</t>
  </si>
  <si>
    <t>11/13/2023</t>
  </si>
  <si>
    <t>11/14/2023</t>
  </si>
  <si>
    <t>11/15/2023</t>
  </si>
  <si>
    <t>11/16/2023</t>
  </si>
  <si>
    <t>11/17/2023</t>
  </si>
  <si>
    <t>11/18/2023</t>
  </si>
  <si>
    <t>11/19/2023</t>
  </si>
  <si>
    <t>11/20/2023</t>
  </si>
  <si>
    <t>11/21/2023</t>
  </si>
  <si>
    <t>11/22/2023</t>
  </si>
  <si>
    <t>11/23/2023</t>
  </si>
  <si>
    <t>11/24/2023</t>
  </si>
  <si>
    <t>11/25/2023</t>
  </si>
  <si>
    <t>11/26/2023</t>
  </si>
  <si>
    <t>11/27/2023</t>
  </si>
  <si>
    <t>11/28/2023</t>
  </si>
  <si>
    <t>11/29/2023</t>
  </si>
  <si>
    <t>11/30/2023</t>
  </si>
  <si>
    <t>12/13/2023</t>
  </si>
  <si>
    <t>12/14/2023</t>
  </si>
  <si>
    <t>12/15/2023</t>
  </si>
  <si>
    <t>12/16/2023</t>
  </si>
  <si>
    <t>12/17/2023</t>
  </si>
  <si>
    <t>12/18/2023</t>
  </si>
  <si>
    <t>12/19/2023</t>
  </si>
  <si>
    <t>12/20/2023</t>
  </si>
  <si>
    <t>12/21/2023</t>
  </si>
  <si>
    <t>12/22/2023</t>
  </si>
  <si>
    <t>12/23/2023</t>
  </si>
  <si>
    <t>12/24/2023</t>
  </si>
  <si>
    <t>12/25/2023</t>
  </si>
  <si>
    <t>12/26/2023</t>
  </si>
  <si>
    <t>12/27/2023</t>
  </si>
  <si>
    <t>12/28/2023</t>
  </si>
  <si>
    <t>12/29/2023</t>
  </si>
  <si>
    <t>12/30/2023</t>
  </si>
  <si>
    <t>12/31/2023</t>
  </si>
  <si>
    <t>2/13/2023</t>
  </si>
  <si>
    <t>2/14/2023</t>
  </si>
  <si>
    <t>2/15/2023</t>
  </si>
  <si>
    <t>2/16/2023</t>
  </si>
  <si>
    <t>2/17/2023</t>
  </si>
  <si>
    <t>2/18/2023</t>
  </si>
  <si>
    <t>2/19/2023</t>
  </si>
  <si>
    <t>2/20/2023</t>
  </si>
  <si>
    <t>2/21/2023</t>
  </si>
  <si>
    <t>2/22/2023</t>
  </si>
  <si>
    <t>2/23/2023</t>
  </si>
  <si>
    <t>2/24/2023</t>
  </si>
  <si>
    <t>2/25/2023</t>
  </si>
  <si>
    <t>2/26/2023</t>
  </si>
  <si>
    <t>2/27/2023</t>
  </si>
  <si>
    <t>2/28/2023</t>
  </si>
  <si>
    <t>3/13/2023</t>
  </si>
  <si>
    <t>3/14/2023</t>
  </si>
  <si>
    <t>3/15/2023</t>
  </si>
  <si>
    <t>3/16/2023</t>
  </si>
  <si>
    <t>3/17/2023</t>
  </si>
  <si>
    <t>3/18/2023</t>
  </si>
  <si>
    <t>3/19/2023</t>
  </si>
  <si>
    <t>3/20/2023</t>
  </si>
  <si>
    <t>3/21/2023</t>
  </si>
  <si>
    <t>3/22/2023</t>
  </si>
  <si>
    <t>3/23/2023</t>
  </si>
  <si>
    <t>3/24/2023</t>
  </si>
  <si>
    <t>3/25/2023</t>
  </si>
  <si>
    <t>3/26/2023</t>
  </si>
  <si>
    <t>3/27/2023</t>
  </si>
  <si>
    <t>3/28/2023</t>
  </si>
  <si>
    <t>3/29/2023</t>
  </si>
  <si>
    <t>3/30/2023</t>
  </si>
  <si>
    <t>3/31/2023</t>
  </si>
  <si>
    <t>4/13/2023</t>
  </si>
  <si>
    <t>4/14/2023</t>
  </si>
  <si>
    <t>4/15/2023</t>
  </si>
  <si>
    <t>4/16/2023</t>
  </si>
  <si>
    <t>4/17/2023</t>
  </si>
  <si>
    <t>4/18/2023</t>
  </si>
  <si>
    <t>4/19/2023</t>
  </si>
  <si>
    <t>4/20/2023</t>
  </si>
  <si>
    <t>4/21/2023</t>
  </si>
  <si>
    <t>4/22/2023</t>
  </si>
  <si>
    <t>4/23/2023</t>
  </si>
  <si>
    <t>4/24/2023</t>
  </si>
  <si>
    <t>4/25/2023</t>
  </si>
  <si>
    <t>4/26/2023</t>
  </si>
  <si>
    <t>4/27/2023</t>
  </si>
  <si>
    <t>4/28/2023</t>
  </si>
  <si>
    <t>4/29/2023</t>
  </si>
  <si>
    <t>4/30/2023</t>
  </si>
  <si>
    <t>5/13/2023</t>
  </si>
  <si>
    <t>5/14/2023</t>
  </si>
  <si>
    <t>5/15/2023</t>
  </si>
  <si>
    <t>5/16/2023</t>
  </si>
  <si>
    <t>5/17/2023</t>
  </si>
  <si>
    <t>5/18/2023</t>
  </si>
  <si>
    <t>5/19/2023</t>
  </si>
  <si>
    <t>5/20/2023</t>
  </si>
  <si>
    <t>5/21/2023</t>
  </si>
  <si>
    <t>5/22/2023</t>
  </si>
  <si>
    <t>5/23/2023</t>
  </si>
  <si>
    <t>5/24/2023</t>
  </si>
  <si>
    <t>5/25/2023</t>
  </si>
  <si>
    <t>5/26/2023</t>
  </si>
  <si>
    <t>5/27/2023</t>
  </si>
  <si>
    <t>5/28/2023</t>
  </si>
  <si>
    <t>5/29/2023</t>
  </si>
  <si>
    <t>5/30/2023</t>
  </si>
  <si>
    <t>5/31/2023</t>
  </si>
  <si>
    <t>6/13/2023</t>
  </si>
  <si>
    <t>6/14/2023</t>
  </si>
  <si>
    <t>6/15/2023</t>
  </si>
  <si>
    <t>6/16/2023</t>
  </si>
  <si>
    <t>6/17/2023</t>
  </si>
  <si>
    <t>6/18/2023</t>
  </si>
  <si>
    <t>6/19/2023</t>
  </si>
  <si>
    <t>6/20/2023</t>
  </si>
  <si>
    <t>6/21/2023</t>
  </si>
  <si>
    <t>6/22/2023</t>
  </si>
  <si>
    <t>6/23/2023</t>
  </si>
  <si>
    <t>6/24/2023</t>
  </si>
  <si>
    <t>6/25/2023</t>
  </si>
  <si>
    <t>6/26/2023</t>
  </si>
  <si>
    <t>6/27/2023</t>
  </si>
  <si>
    <t>6/28/2023</t>
  </si>
  <si>
    <t>6/29/2023</t>
  </si>
  <si>
    <t>6/30/2023</t>
  </si>
  <si>
    <t>7/13/2023</t>
  </si>
  <si>
    <t>7/14/2023</t>
  </si>
  <si>
    <t>7/15/2023</t>
  </si>
  <si>
    <t>7/16/2023</t>
  </si>
  <si>
    <t>7/17/2023</t>
  </si>
  <si>
    <t>7/18/2023</t>
  </si>
  <si>
    <t>7/19/2023</t>
  </si>
  <si>
    <t>7/20/2023</t>
  </si>
  <si>
    <t>7/21/2023</t>
  </si>
  <si>
    <t>7/22/2023</t>
  </si>
  <si>
    <t>7/23/2023</t>
  </si>
  <si>
    <t>7/24/2023</t>
  </si>
  <si>
    <t>7/25/2023</t>
  </si>
  <si>
    <t>7/26/2023</t>
  </si>
  <si>
    <t>7/27/2023</t>
  </si>
  <si>
    <t>7/28/2023</t>
  </si>
  <si>
    <t>7/29/2023</t>
  </si>
  <si>
    <t>7/30/2023</t>
  </si>
  <si>
    <t>7/31/2023</t>
  </si>
  <si>
    <t>8/13/2023</t>
  </si>
  <si>
    <t>8/14/2023</t>
  </si>
  <si>
    <t>8/15/2023</t>
  </si>
  <si>
    <t>8/16/2023</t>
  </si>
  <si>
    <t>8/17/2023</t>
  </si>
  <si>
    <t>8/18/2023</t>
  </si>
  <si>
    <t>8/19/2023</t>
  </si>
  <si>
    <t>8/20/2023</t>
  </si>
  <si>
    <t>8/21/2023</t>
  </si>
  <si>
    <t>8/22/2023</t>
  </si>
  <si>
    <t>8/23/2023</t>
  </si>
  <si>
    <t>8/24/2023</t>
  </si>
  <si>
    <t>8/25/2023</t>
  </si>
  <si>
    <t>8/26/2023</t>
  </si>
  <si>
    <t>8/27/2023</t>
  </si>
  <si>
    <t>8/28/2023</t>
  </si>
  <si>
    <t>8/29/2023</t>
  </si>
  <si>
    <t>8/30/2023</t>
  </si>
  <si>
    <t>8/31/2023</t>
  </si>
  <si>
    <t>9/13/2023</t>
  </si>
  <si>
    <t>9/14/2023</t>
  </si>
  <si>
    <t>9/15/2023</t>
  </si>
  <si>
    <t>9/16/2023</t>
  </si>
  <si>
    <t>9/17/2023</t>
  </si>
  <si>
    <t>9/18/2023</t>
  </si>
  <si>
    <t>9/19/2023</t>
  </si>
  <si>
    <t>9/20/2023</t>
  </si>
  <si>
    <t>9/21/2023</t>
  </si>
  <si>
    <t>9/22/2023</t>
  </si>
  <si>
    <t>9/23/2023</t>
  </si>
  <si>
    <t>9/24/2023</t>
  </si>
  <si>
    <t>9/25/2023</t>
  </si>
  <si>
    <t>9/26/2023</t>
  </si>
  <si>
    <t>9/27/2023</t>
  </si>
  <si>
    <t>9/28/2023</t>
  </si>
  <si>
    <t>9/29/2023</t>
  </si>
  <si>
    <t>9/30/2023</t>
  </si>
  <si>
    <t>Shows the average number of units sold per day and helps understand normal daily demand</t>
  </si>
  <si>
    <t>AVERAGE MONTHLY DEMAND</t>
  </si>
  <si>
    <t>SELECT YEAR(Date) AS Year, MONTH(Date) AS Month, SUM(Quantity) AS Monthly_Demand FROM RetailSales GROUP BY YEAR(Date), MONTH(Date) ORDER BY Year, Month;</t>
  </si>
  <si>
    <t>MONTH</t>
  </si>
  <si>
    <t>MONTHLY DEMAND</t>
  </si>
  <si>
    <t>Average Monthly Demand</t>
  </si>
  <si>
    <t>7-DAY ROLLING AVERAGE DEMAND</t>
  </si>
  <si>
    <t>SELECT Date, SUM(Quantity) AS Daily_Demand, AVG(SUM(Quantity)) OVER ( ORDER BY Date ROWS BETWEEN 6 PRECEDING AND CURRENT ROW ) AS Rolling_7_Day_Average FROM RetailSales GROUP BY Date ORDER BY Date;</t>
  </si>
  <si>
    <t>7-Day Rolling Average</t>
  </si>
  <si>
    <t>CATEGORY SALES RANKING</t>
  </si>
  <si>
    <t>SELECT Category, SUM(Sales) AS Total_Sales, RANK() OVER (ORDER BY SUM(Sales) DESC) AS Sales_Rank FROM RetailSales GROUP BY Category ORDER BY Sales_Rank;</t>
  </si>
  <si>
    <t>Ranks categories according to their total sales and identifies the highest-selling categories</t>
  </si>
  <si>
    <t>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</si>
</sst>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_(* \(#,##0.00\);_(* &quot;-&quot;??_);_(@_)"/>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0"/>
      <color theme="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theme="7" tint="0.39997558519241921"/>
        <bgColor indexed="64"/>
      </patternFill>
    </fill>
    <fill>
      <patternFill patternType="solid">
        <fgColor rgb="FFFFFF00"/>
        <bgColor indexed="64"/>
      </patternFill>
    </fill>
    <fill>
      <patternFill patternType="solid">
        <fgColor theme="7" tint="0.59999389629810485"/>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43" fontId="1" fillId="0" borderId="0" applyFont="0" applyFill="0" applyBorder="0" applyAlignment="0" applyProtection="0"/>
  </cellStyleXfs>
  <cellXfs count="32">
    <xf numFmtId="0" fontId="0" fillId="0" borderId="0" xfId="0"/>
    <xf numFmtId="14" fontId="0" fillId="0" borderId="0" xfId="0" applyNumberFormat="1"/>
    <xf numFmtId="2" fontId="0" fillId="0" borderId="0" xfId="0" applyNumberFormat="1"/>
    <xf numFmtId="49" fontId="0" fillId="0" borderId="0" xfId="0" applyNumberFormat="1"/>
    <xf numFmtId="0" fontId="0" fillId="0" borderId="0" xfId="0" applyAlignment="1">
      <alignment horizontal="left"/>
    </xf>
    <xf numFmtId="14" fontId="0" fillId="0" borderId="0" xfId="0" applyNumberFormat="1"/>
    <xf numFmtId="0" fontId="0" fillId="0" borderId="0" xfId="0" applyNumberFormat="1"/>
    <xf numFmtId="2" fontId="0" fillId="0" borderId="0" xfId="0" applyNumberFormat="1"/>
    <xf numFmtId="0" fontId="16" fillId="0" borderId="0" xfId="0" applyFont="1"/>
    <xf numFmtId="0" fontId="0" fillId="34" borderId="0" xfId="0" applyFill="1"/>
    <xf numFmtId="0" fontId="0" fillId="34" borderId="0" xfId="0" applyNumberFormat="1" applyFill="1"/>
    <xf numFmtId="0" fontId="0" fillId="34" borderId="0" xfId="0" applyFill="1" applyAlignment="1">
      <alignment horizontal="left"/>
    </xf>
    <xf numFmtId="0" fontId="0" fillId="0" borderId="0" xfId="0" applyAlignment="1"/>
    <xf numFmtId="0" fontId="0" fillId="33" borderId="0" xfId="0" applyFill="1" applyBorder="1"/>
    <xf numFmtId="0" fontId="0" fillId="33" borderId="14" xfId="0" applyFill="1" applyBorder="1"/>
    <xf numFmtId="0" fontId="0" fillId="33" borderId="13" xfId="0" applyFill="1" applyBorder="1"/>
    <xf numFmtId="0" fontId="0" fillId="33" borderId="15" xfId="0" applyFill="1" applyBorder="1"/>
    <xf numFmtId="0" fontId="0" fillId="33" borderId="17" xfId="0" applyFill="1" applyBorder="1"/>
    <xf numFmtId="43" fontId="0" fillId="33" borderId="16" xfId="42" applyFont="1" applyFill="1" applyBorder="1"/>
    <xf numFmtId="0" fontId="18" fillId="0" borderId="0" xfId="0" applyFont="1" applyAlignment="1"/>
    <xf numFmtId="0" fontId="18" fillId="33" borderId="10" xfId="0" applyFont="1" applyFill="1" applyBorder="1" applyAlignment="1">
      <alignment horizontal="center"/>
    </xf>
    <xf numFmtId="0" fontId="0" fillId="33" borderId="11" xfId="0" applyFill="1" applyBorder="1" applyAlignment="1">
      <alignment horizontal="center"/>
    </xf>
    <xf numFmtId="0" fontId="0" fillId="33" borderId="12" xfId="0" applyFill="1" applyBorder="1" applyAlignment="1">
      <alignment horizontal="center"/>
    </xf>
    <xf numFmtId="0" fontId="0" fillId="33" borderId="13" xfId="0" applyFill="1" applyBorder="1" applyAlignment="1">
      <alignment horizontal="center"/>
    </xf>
    <xf numFmtId="0" fontId="0" fillId="33" borderId="0" xfId="0" applyFill="1" applyBorder="1" applyAlignment="1">
      <alignment horizontal="center"/>
    </xf>
    <xf numFmtId="0" fontId="0" fillId="33" borderId="14" xfId="0" applyFill="1" applyBorder="1" applyAlignment="1">
      <alignment horizontal="center"/>
    </xf>
    <xf numFmtId="0" fontId="18" fillId="0" borderId="0" xfId="0" applyFont="1" applyAlignment="1">
      <alignment horizontal="center"/>
    </xf>
    <xf numFmtId="0" fontId="0" fillId="0" borderId="0" xfId="0" applyAlignment="1">
      <alignment horizontal="center"/>
    </xf>
    <xf numFmtId="0" fontId="0" fillId="0" borderId="0" xfId="0" pivotButton="1"/>
    <xf numFmtId="14" fontId="0" fillId="0" borderId="0" xfId="0" applyNumberFormat="1" applyAlignment="1">
      <alignment horizontal="left"/>
    </xf>
    <xf numFmtId="0" fontId="16" fillId="35" borderId="0" xfId="0" applyFont="1" applyFill="1"/>
    <xf numFmtId="0" fontId="16" fillId="36" borderId="0" xfId="0" applyFont="1" applyFill="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6">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rgb="FFFFFF00"/>
        </patternFill>
      </fill>
    </dxf>
    <dxf>
      <fill>
        <patternFill>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rgb="FFFFFF00"/>
        </patternFill>
      </fill>
    </dxf>
    <dxf>
      <fill>
        <patternFill>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patternType="solid">
          <bgColor rgb="FFFFFF00"/>
        </patternFill>
      </fill>
    </dxf>
    <dxf>
      <fill>
        <patternFill>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patternType="solid">
          <bgColor rgb="FFFFFF00"/>
        </patternFill>
      </fill>
    </dxf>
    <dxf>
      <fill>
        <patternFill>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patternType="solid">
          <bgColor rgb="FFFFFF00"/>
        </patternFill>
      </fill>
    </dxf>
    <dxf>
      <fill>
        <patternFill>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numFmt numFmtId="19" formatCode="dd/mm/yyyy"/>
    </dxf>
    <dxf>
      <numFmt numFmtId="2" formatCode="0.00"/>
    </dxf>
    <dxf>
      <numFmt numFmtId="2" formatCode="0.00"/>
    </dxf>
    <dxf>
      <numFmt numFmtId="0" formatCode="General"/>
    </dxf>
    <dxf>
      <numFmt numFmtId="19" formatCode="dd/mm/yyyy"/>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bgColor theme="7" tint="0.39997558519241921"/>
        </patternFill>
      </fill>
    </dxf>
    <dxf>
      <fill>
        <patternFill patternType="solid">
          <bgColor rgb="FFFFFF00"/>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bgColor theme="7" tint="0.3999755851924192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[Vishalini_Retail_Analytics_Final.xlsx]Pivot_Sales_Category!PivotTable1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SALES BY PRODUCT CATEGORY</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60000"/>
              <a:lumOff val="40000"/>
            </a:schemeClr>
          </a:solidFill>
          <a:ln>
            <a:noFill/>
          </a:ln>
          <a:effectLst/>
          <a:sp3d/>
        </c:spPr>
        <c:marker>
          <c:symbol val="none"/>
        </c:marker>
      </c:pivotFmt>
      <c:pivotFmt>
        <c:idx val="1"/>
        <c:spPr>
          <a:solidFill>
            <a:schemeClr val="accent4">
              <a:lumMod val="60000"/>
              <a:lumOff val="40000"/>
            </a:schemeClr>
          </a:solidFill>
          <a:ln>
            <a:noFill/>
          </a:ln>
          <a:effectLst/>
          <a:sp3d/>
        </c:spPr>
        <c:marker>
          <c:symbol val="none"/>
        </c:marker>
      </c:pivotFmt>
      <c:pivotFmt>
        <c:idx val="2"/>
        <c:spPr>
          <a:solidFill>
            <a:schemeClr val="accent4">
              <a:lumMod val="60000"/>
              <a:lumOff val="40000"/>
            </a:schemeClr>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Pivot_Sales_Category!$B$1</c:f>
              <c:strCache>
                <c:ptCount val="1"/>
                <c:pt idx="0">
                  <c:v>Total</c:v>
                </c:pt>
              </c:strCache>
            </c:strRef>
          </c:tx>
          <c:spPr>
            <a:solidFill>
              <a:schemeClr val="accent4">
                <a:lumMod val="60000"/>
                <a:lumOff val="40000"/>
              </a:schemeClr>
            </a:solidFill>
            <a:ln>
              <a:noFill/>
            </a:ln>
            <a:effectLst/>
            <a:sp3d/>
          </c:spPr>
          <c:invertIfNegative val="0"/>
          <c:cat>
            <c:strRef>
              <c:f>Pivot_Sales_Category!$A$2:$A$3</c:f>
              <c:strCache>
                <c:ptCount val="1"/>
                <c:pt idx="0">
                  <c:v>Clothing</c:v>
                </c:pt>
              </c:strCache>
            </c:strRef>
          </c:cat>
          <c:val>
            <c:numRef>
              <c:f>Pivot_Sales_Category!$B$2:$B$3</c:f>
              <c:numCache>
                <c:formatCode>General</c:formatCode>
                <c:ptCount val="1"/>
                <c:pt idx="0">
                  <c:v>100478.57742234862</c:v>
                </c:pt>
              </c:numCache>
            </c:numRef>
          </c:val>
          <c:extLst>
            <c:ext xmlns:c16="http://schemas.microsoft.com/office/drawing/2014/chart" uri="{C3380CC4-5D6E-409C-BE32-E72D297353CC}">
              <c16:uniqueId val="{00000000-6E3D-4403-A22A-B10053A179A6}"/>
            </c:ext>
          </c:extLst>
        </c:ser>
        <c:dLbls>
          <c:showLegendKey val="0"/>
          <c:showVal val="0"/>
          <c:showCatName val="0"/>
          <c:showSerName val="0"/>
          <c:showPercent val="0"/>
          <c:showBubbleSize val="0"/>
        </c:dLbls>
        <c:gapWidth val="150"/>
        <c:shape val="box"/>
        <c:axId val="396482591"/>
        <c:axId val="396484255"/>
        <c:axId val="0"/>
      </c:bar3DChart>
      <c:catAx>
        <c:axId val="3964825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484255"/>
        <c:crosses val="autoZero"/>
        <c:auto val="1"/>
        <c:lblAlgn val="ctr"/>
        <c:lblOffset val="100"/>
        <c:noMultiLvlLbl val="0"/>
      </c:catAx>
      <c:valAx>
        <c:axId val="396484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48259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[Vishalini_Retail_Analytics_Final.xlsx]Pivot_Sales_Region!PivotTable2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SALES BY REGION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60000"/>
              <a:lumOff val="40000"/>
            </a:schemeClr>
          </a:solidFill>
          <a:ln>
            <a:noFill/>
          </a:ln>
          <a:effectLst/>
        </c:spPr>
        <c:marker>
          <c:symbol val="none"/>
        </c:marker>
      </c:pivotFmt>
      <c:pivotFmt>
        <c:idx val="1"/>
        <c:spPr>
          <a:solidFill>
            <a:schemeClr val="accent4">
              <a:lumMod val="60000"/>
              <a:lumOff val="40000"/>
            </a:schemeClr>
          </a:solidFill>
          <a:ln>
            <a:noFill/>
          </a:ln>
          <a:effectLst/>
        </c:spPr>
        <c:marker>
          <c:symbol val="none"/>
        </c:marker>
      </c:pivotFmt>
      <c:pivotFmt>
        <c:idx val="2"/>
        <c:spPr>
          <a:solidFill>
            <a:schemeClr val="accent4">
              <a:lumMod val="60000"/>
              <a:lumOff val="40000"/>
            </a:schemeClr>
          </a:solidFill>
          <a:ln>
            <a:noFill/>
          </a:ln>
          <a:effectLst/>
        </c:spPr>
        <c:marker>
          <c:symbol val="none"/>
        </c:marker>
      </c:pivotFmt>
      <c:pivotFmt>
        <c:idx val="3"/>
        <c:spPr>
          <a:solidFill>
            <a:schemeClr val="accent4">
              <a:lumMod val="60000"/>
              <a:lumOff val="40000"/>
            </a:schemeClr>
          </a:solidFill>
          <a:ln>
            <a:noFill/>
          </a:ln>
          <a:effectLst/>
        </c:spPr>
        <c:marker>
          <c:symbol val="none"/>
        </c:marker>
      </c:pivotFmt>
      <c:pivotFmt>
        <c:idx val="4"/>
        <c:spPr>
          <a:solidFill>
            <a:schemeClr val="accent4">
              <a:lumMod val="60000"/>
              <a:lumOff val="40000"/>
            </a:schemeClr>
          </a:solidFill>
          <a:ln>
            <a:noFill/>
          </a:ln>
          <a:effectLst/>
        </c:spPr>
        <c:marker>
          <c:symbol val="none"/>
        </c:marker>
      </c:pivotFmt>
    </c:pivotFmts>
    <c:plotArea>
      <c:layout/>
      <c:barChart>
        <c:barDir val="col"/>
        <c:grouping val="clustered"/>
        <c:varyColors val="0"/>
        <c:ser>
          <c:idx val="0"/>
          <c:order val="0"/>
          <c:tx>
            <c:strRef>
              <c:f>Pivot_Sales_Region!$B$1</c:f>
              <c:strCache>
                <c:ptCount val="1"/>
                <c:pt idx="0">
                  <c:v>Total</c:v>
                </c:pt>
              </c:strCache>
            </c:strRef>
          </c:tx>
          <c:spPr>
            <a:solidFill>
              <a:schemeClr val="accent4">
                <a:lumMod val="60000"/>
                <a:lumOff val="40000"/>
              </a:schemeClr>
            </a:solidFill>
            <a:ln>
              <a:noFill/>
            </a:ln>
            <a:effectLst/>
          </c:spPr>
          <c:invertIfNegative val="0"/>
          <c:cat>
            <c:strRef>
              <c:f>Pivot_Sales_Region!$A$2:$A$3</c:f>
              <c:strCache>
                <c:ptCount val="1"/>
                <c:pt idx="0">
                  <c:v>North</c:v>
                </c:pt>
              </c:strCache>
            </c:strRef>
          </c:cat>
          <c:val>
            <c:numRef>
              <c:f>Pivot_Sales_Region!$B$2:$B$3</c:f>
              <c:numCache>
                <c:formatCode>General</c:formatCode>
                <c:ptCount val="1"/>
                <c:pt idx="0">
                  <c:v>100478.57742234862</c:v>
                </c:pt>
              </c:numCache>
            </c:numRef>
          </c:val>
          <c:extLst>
            <c:ext xmlns:c16="http://schemas.microsoft.com/office/drawing/2014/chart" uri="{C3380CC4-5D6E-409C-BE32-E72D297353CC}">
              <c16:uniqueId val="{00000000-AAF8-40C3-8F60-F57094EFFAE0}"/>
            </c:ext>
          </c:extLst>
        </c:ser>
        <c:dLbls>
          <c:showLegendKey val="0"/>
          <c:showVal val="0"/>
          <c:showCatName val="0"/>
          <c:showSerName val="0"/>
          <c:showPercent val="0"/>
          <c:showBubbleSize val="0"/>
        </c:dLbls>
        <c:gapWidth val="219"/>
        <c:overlap val="-27"/>
        <c:axId val="4017567"/>
        <c:axId val="4023807"/>
      </c:barChart>
      <c:catAx>
        <c:axId val="4017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3807"/>
        <c:crosses val="autoZero"/>
        <c:auto val="1"/>
        <c:lblAlgn val="ctr"/>
        <c:lblOffset val="100"/>
        <c:noMultiLvlLbl val="0"/>
      </c:catAx>
      <c:valAx>
        <c:axId val="4023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75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[Vishalini_Retail_Analytics_Final.xlsx]Pivot_Quantity_Category!PivotTable3</c:name>
    <c:fmtId val="3"/>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SUM</a:t>
            </a:r>
            <a:r>
              <a:rPr lang="en-US" baseline="0"/>
              <a:t> OF QUANTITY BY CATEGORY</a:t>
            </a:r>
            <a:endParaRPr lang="en-US"/>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solidFill>
            <a:schemeClr val="accent4">
              <a:lumMod val="60000"/>
              <a:lumOff val="40000"/>
            </a:schemeClr>
          </a:solidFill>
          <a:ln>
            <a:noFill/>
          </a:ln>
          <a:effectLst/>
          <a:sp3d/>
        </c:spPr>
        <c:marker>
          <c:symbol val="none"/>
        </c:marker>
      </c:pivotFmt>
      <c:pivotFmt>
        <c:idx val="2"/>
        <c:spPr>
          <a:solidFill>
            <a:schemeClr val="accent4">
              <a:lumMod val="60000"/>
              <a:lumOff val="40000"/>
            </a:schemeClr>
          </a:solidFill>
          <a:ln>
            <a:noFill/>
          </a:ln>
          <a:effectLst/>
          <a:sp3d/>
        </c:spPr>
        <c:marker>
          <c:symbol val="none"/>
        </c:marker>
      </c:pivotFmt>
      <c:pivotFmt>
        <c:idx val="3"/>
        <c:spPr>
          <a:gradFill flip="none" rotWithShape="1">
            <a:gsLst>
              <a:gs pos="100000">
                <a:schemeClr val="accent1">
                  <a:alpha val="0"/>
                </a:schemeClr>
              </a:gs>
              <a:gs pos="50000">
                <a:schemeClr val="accent1"/>
              </a:gs>
            </a:gsLst>
            <a:lin ang="10800000" scaled="1"/>
          </a:gra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Pivot_Quantity_Category!$B$1</c:f>
              <c:strCache>
                <c:ptCount val="1"/>
                <c:pt idx="0">
                  <c:v>Total</c:v>
                </c:pt>
              </c:strCache>
            </c:strRef>
          </c:tx>
          <c:spPr>
            <a:gradFill flip="none" rotWithShape="1">
              <a:gsLst>
                <a:gs pos="100000">
                  <a:schemeClr val="accent1">
                    <a:alpha val="0"/>
                  </a:schemeClr>
                </a:gs>
                <a:gs pos="50000">
                  <a:schemeClr val="accent1"/>
                </a:gs>
              </a:gsLst>
              <a:lin ang="10800000" scaled="1"/>
            </a:gradFill>
            <a:ln>
              <a:noFill/>
            </a:ln>
            <a:effectLst/>
            <a:sp3d/>
          </c:spPr>
          <c:invertIfNegative val="0"/>
          <c:cat>
            <c:strRef>
              <c:f>Pivot_Quantity_Category!$A$2:$A$3</c:f>
              <c:strCache>
                <c:ptCount val="1"/>
                <c:pt idx="0">
                  <c:v>Clothing</c:v>
                </c:pt>
              </c:strCache>
            </c:strRef>
          </c:cat>
          <c:val>
            <c:numRef>
              <c:f>Pivot_Quantity_Category!$B$2:$B$3</c:f>
              <c:numCache>
                <c:formatCode>General</c:formatCode>
                <c:ptCount val="1"/>
                <c:pt idx="0">
                  <c:v>986</c:v>
                </c:pt>
              </c:numCache>
            </c:numRef>
          </c:val>
          <c:extLst>
            <c:ext xmlns:c16="http://schemas.microsoft.com/office/drawing/2014/chart" uri="{C3380CC4-5D6E-409C-BE32-E72D297353CC}">
              <c16:uniqueId val="{00000000-55AB-4188-8A6F-C4F706A794CD}"/>
            </c:ext>
          </c:extLst>
        </c:ser>
        <c:dLbls>
          <c:showLegendKey val="0"/>
          <c:showVal val="0"/>
          <c:showCatName val="0"/>
          <c:showSerName val="0"/>
          <c:showPercent val="0"/>
          <c:showBubbleSize val="0"/>
        </c:dLbls>
        <c:gapWidth val="150"/>
        <c:gapDepth val="0"/>
        <c:shape val="box"/>
        <c:axId val="4527775"/>
        <c:axId val="4541919"/>
        <c:axId val="0"/>
      </c:bar3DChart>
      <c:catAx>
        <c:axId val="45277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1919"/>
        <c:crosses val="autoZero"/>
        <c:auto val="1"/>
        <c:lblAlgn val="ctr"/>
        <c:lblOffset val="100"/>
        <c:noMultiLvlLbl val="0"/>
      </c:catAx>
      <c:valAx>
        <c:axId val="4541919"/>
        <c:scaling>
          <c:orientation val="minMax"/>
        </c:scaling>
        <c:delete val="0"/>
        <c:axPos val="b"/>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7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[Vishalini_Retail_Analytics_Final.xlsx]Pivot_Monthly_Sales!PivotTable7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a:t>
            </a:r>
            <a:r>
              <a:rPr lang="en-US" b="1" baseline="0"/>
              <a:t> SALES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s>
    <c:plotArea>
      <c:layout/>
      <c:pieChart>
        <c:varyColors val="1"/>
        <c:ser>
          <c:idx val="0"/>
          <c:order val="0"/>
          <c:tx>
            <c:strRef>
              <c:f>Pivot_Monthly_Sales!$B$3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D60-4086-9F51-FAE249FA9C8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D60-4086-9F51-FAE249FA9C8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D60-4086-9F51-FAE249FA9C8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D60-4086-9F51-FAE249FA9C8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D60-4086-9F51-FAE249FA9C8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D60-4086-9F51-FAE249FA9C8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D60-4086-9F51-FAE249FA9C8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AD60-4086-9F51-FAE249FA9C8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AD60-4086-9F51-FAE249FA9C8F}"/>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AD60-4086-9F51-FAE249FA9C8F}"/>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AD60-4086-9F51-FAE249FA9C8F}"/>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AD60-4086-9F51-FAE249FA9C8F}"/>
              </c:ext>
            </c:extLst>
          </c:dPt>
          <c:cat>
            <c:strRef>
              <c:f>Pivot_Monthly_Sales!$A$4:$A$16</c:f>
              <c:strCache>
                <c:ptCount val="12"/>
                <c:pt idx="0">
                  <c:v>Apr</c:v>
                </c:pt>
                <c:pt idx="1">
                  <c:v>Aug</c:v>
                </c:pt>
                <c:pt idx="2">
                  <c:v>Dec</c:v>
                </c:pt>
                <c:pt idx="3">
                  <c:v>Feb</c:v>
                </c:pt>
                <c:pt idx="4">
                  <c:v>Jan</c:v>
                </c:pt>
                <c:pt idx="5">
                  <c:v>Jul</c:v>
                </c:pt>
                <c:pt idx="6">
                  <c:v>Jun</c:v>
                </c:pt>
                <c:pt idx="7">
                  <c:v>Mar</c:v>
                </c:pt>
                <c:pt idx="8">
                  <c:v>May</c:v>
                </c:pt>
                <c:pt idx="9">
                  <c:v>Nov</c:v>
                </c:pt>
                <c:pt idx="10">
                  <c:v>Oct</c:v>
                </c:pt>
                <c:pt idx="11">
                  <c:v>Sep</c:v>
                </c:pt>
              </c:strCache>
            </c:strRef>
          </c:cat>
          <c:val>
            <c:numRef>
              <c:f>Pivot_Monthly_Sales!$B$4:$B$16</c:f>
              <c:numCache>
                <c:formatCode>General</c:formatCode>
                <c:ptCount val="12"/>
                <c:pt idx="0">
                  <c:v>25650.214682180031</c:v>
                </c:pt>
                <c:pt idx="1">
                  <c:v>34389.664588779822</c:v>
                </c:pt>
                <c:pt idx="2">
                  <c:v>30937.517273575904</c:v>
                </c:pt>
                <c:pt idx="3">
                  <c:v>27255.750941361734</c:v>
                </c:pt>
                <c:pt idx="4">
                  <c:v>50663.580950083007</c:v>
                </c:pt>
                <c:pt idx="5">
                  <c:v>34885.93221897239</c:v>
                </c:pt>
                <c:pt idx="6">
                  <c:v>31998.505183869693</c:v>
                </c:pt>
                <c:pt idx="7">
                  <c:v>28520.74889350669</c:v>
                </c:pt>
                <c:pt idx="8">
                  <c:v>31447.010498772324</c:v>
                </c:pt>
                <c:pt idx="9">
                  <c:v>30586.290597129013</c:v>
                </c:pt>
                <c:pt idx="10">
                  <c:v>30509.962256744686</c:v>
                </c:pt>
                <c:pt idx="11">
                  <c:v>30765.660605988276</c:v>
                </c:pt>
              </c:numCache>
            </c:numRef>
          </c:val>
          <c:extLst>
            <c:ext xmlns:c16="http://schemas.microsoft.com/office/drawing/2014/chart" uri="{C3380CC4-5D6E-409C-BE32-E72D297353CC}">
              <c16:uniqueId val="{00000018-AD60-4086-9F51-FAE249FA9C8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[Vishalini_Retail_Analytics_Final.xlsx]Pivot_Safety_Stock!PivotTable8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AVERAGE SAFETY STOCK BY 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60000"/>
              <a:lumOff val="40000"/>
            </a:schemeClr>
          </a:solidFill>
          <a:ln>
            <a:noFill/>
          </a:ln>
          <a:effectLst/>
          <a:sp3d/>
        </c:spPr>
        <c:marker>
          <c:symbol val="none"/>
        </c:marker>
      </c:pivotFmt>
      <c:pivotFmt>
        <c:idx val="1"/>
        <c:spPr>
          <a:solidFill>
            <a:schemeClr val="accent4">
              <a:lumMod val="60000"/>
              <a:lumOff val="40000"/>
            </a:schemeClr>
          </a:solidFill>
          <a:ln>
            <a:noFill/>
          </a:ln>
          <a:effectLst/>
          <a:sp3d/>
        </c:spPr>
        <c:marker>
          <c:symbol val="none"/>
        </c:marker>
      </c:pivotFmt>
      <c:pivotFmt>
        <c:idx val="2"/>
        <c:spPr>
          <a:solidFill>
            <a:schemeClr val="accent4">
              <a:lumMod val="60000"/>
              <a:lumOff val="40000"/>
            </a:schemeClr>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Pivot_Safety_Stock!$B$3</c:f>
              <c:strCache>
                <c:ptCount val="1"/>
                <c:pt idx="0">
                  <c:v>Total</c:v>
                </c:pt>
              </c:strCache>
            </c:strRef>
          </c:tx>
          <c:spPr>
            <a:solidFill>
              <a:schemeClr val="accent4">
                <a:lumMod val="60000"/>
                <a:lumOff val="40000"/>
              </a:schemeClr>
            </a:solidFill>
            <a:ln>
              <a:noFill/>
            </a:ln>
            <a:effectLst/>
            <a:sp3d/>
          </c:spPr>
          <c:invertIfNegative val="0"/>
          <c:cat>
            <c:strRef>
              <c:f>Pivot_Safety_Stock!$A$4:$A$8</c:f>
              <c:strCache>
                <c:ptCount val="4"/>
                <c:pt idx="0">
                  <c:v>0</c:v>
                </c:pt>
                <c:pt idx="1">
                  <c:v>Clothing</c:v>
                </c:pt>
                <c:pt idx="2">
                  <c:v>Electronics</c:v>
                </c:pt>
                <c:pt idx="3">
                  <c:v>Unknown</c:v>
                </c:pt>
              </c:strCache>
            </c:strRef>
          </c:cat>
          <c:val>
            <c:numRef>
              <c:f>Pivot_Safety_Stock!$B$4:$B$8</c:f>
              <c:numCache>
                <c:formatCode>General</c:formatCode>
                <c:ptCount val="4"/>
                <c:pt idx="0">
                  <c:v>26.566513082689202</c:v>
                </c:pt>
                <c:pt idx="1">
                  <c:v>27.814050089993255</c:v>
                </c:pt>
                <c:pt idx="2">
                  <c:v>26.608170314909756</c:v>
                </c:pt>
                <c:pt idx="3">
                  <c:v>28.310247206688548</c:v>
                </c:pt>
              </c:numCache>
            </c:numRef>
          </c:val>
          <c:extLst>
            <c:ext xmlns:c16="http://schemas.microsoft.com/office/drawing/2014/chart" uri="{C3380CC4-5D6E-409C-BE32-E72D297353CC}">
              <c16:uniqueId val="{00000000-915E-4501-9DDC-C37E5978150B}"/>
            </c:ext>
          </c:extLst>
        </c:ser>
        <c:dLbls>
          <c:showLegendKey val="0"/>
          <c:showVal val="0"/>
          <c:showCatName val="0"/>
          <c:showSerName val="0"/>
          <c:showPercent val="0"/>
          <c:showBubbleSize val="0"/>
        </c:dLbls>
        <c:gapWidth val="150"/>
        <c:shape val="box"/>
        <c:axId val="1149578847"/>
        <c:axId val="1149568031"/>
        <c:axId val="0"/>
      </c:bar3DChart>
      <c:catAx>
        <c:axId val="11495788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568031"/>
        <c:crosses val="autoZero"/>
        <c:auto val="1"/>
        <c:lblAlgn val="ctr"/>
        <c:lblOffset val="100"/>
        <c:noMultiLvlLbl val="0"/>
      </c:catAx>
      <c:valAx>
        <c:axId val="11495680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578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[Vishalini_Retail_Analytics_Final.xlsx]Pivot_Sales_Category!PivotTable1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SALES BY PRODUCT CATEGORY</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60000"/>
              <a:lumOff val="40000"/>
            </a:schemeClr>
          </a:solidFill>
          <a:ln>
            <a:noFill/>
          </a:ln>
          <a:effectLst/>
          <a:sp3d/>
        </c:spPr>
        <c:marker>
          <c:symbol val="none"/>
        </c:marker>
      </c:pivotFmt>
      <c:pivotFmt>
        <c:idx val="1"/>
        <c:spPr>
          <a:solidFill>
            <a:schemeClr val="accent4">
              <a:lumMod val="60000"/>
              <a:lumOff val="40000"/>
            </a:schemeClr>
          </a:solidFill>
          <a:ln>
            <a:noFill/>
          </a:ln>
          <a:effectLst/>
          <a:sp3d/>
        </c:spPr>
        <c:marker>
          <c:symbol val="none"/>
        </c:marker>
      </c:pivotFmt>
      <c:pivotFmt>
        <c:idx val="2"/>
        <c:spPr>
          <a:solidFill>
            <a:schemeClr val="accent4">
              <a:lumMod val="60000"/>
              <a:lumOff val="40000"/>
            </a:schemeClr>
          </a:solidFill>
          <a:ln>
            <a:noFill/>
          </a:ln>
          <a:effectLst/>
          <a:sp3d/>
        </c:spPr>
        <c:marker>
          <c:symbol val="none"/>
        </c:marker>
      </c:pivotFmt>
      <c:pivotFmt>
        <c:idx val="3"/>
        <c:spPr>
          <a:solidFill>
            <a:schemeClr val="accent4">
              <a:lumMod val="60000"/>
              <a:lumOff val="40000"/>
            </a:schemeClr>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Pivot_Sales_Category!$B$1</c:f>
              <c:strCache>
                <c:ptCount val="1"/>
                <c:pt idx="0">
                  <c:v>Total</c:v>
                </c:pt>
              </c:strCache>
            </c:strRef>
          </c:tx>
          <c:spPr>
            <a:solidFill>
              <a:schemeClr val="accent4">
                <a:lumMod val="60000"/>
                <a:lumOff val="40000"/>
              </a:schemeClr>
            </a:solidFill>
            <a:ln>
              <a:noFill/>
            </a:ln>
            <a:effectLst/>
            <a:sp3d/>
          </c:spPr>
          <c:invertIfNegative val="0"/>
          <c:cat>
            <c:strRef>
              <c:f>Pivot_Sales_Category!$A$2:$A$3</c:f>
              <c:strCache>
                <c:ptCount val="1"/>
                <c:pt idx="0">
                  <c:v>Clothing</c:v>
                </c:pt>
              </c:strCache>
            </c:strRef>
          </c:cat>
          <c:val>
            <c:numRef>
              <c:f>Pivot_Sales_Category!$B$2:$B$3</c:f>
              <c:numCache>
                <c:formatCode>General</c:formatCode>
                <c:ptCount val="1"/>
                <c:pt idx="0">
                  <c:v>100478.57742234862</c:v>
                </c:pt>
              </c:numCache>
            </c:numRef>
          </c:val>
          <c:extLst>
            <c:ext xmlns:c16="http://schemas.microsoft.com/office/drawing/2014/chart" uri="{C3380CC4-5D6E-409C-BE32-E72D297353CC}">
              <c16:uniqueId val="{00000000-D48D-4DA1-A4C6-3281960FAE40}"/>
            </c:ext>
          </c:extLst>
        </c:ser>
        <c:dLbls>
          <c:showLegendKey val="0"/>
          <c:showVal val="0"/>
          <c:showCatName val="0"/>
          <c:showSerName val="0"/>
          <c:showPercent val="0"/>
          <c:showBubbleSize val="0"/>
        </c:dLbls>
        <c:gapWidth val="150"/>
        <c:shape val="box"/>
        <c:axId val="396482591"/>
        <c:axId val="396484255"/>
        <c:axId val="0"/>
      </c:bar3DChart>
      <c:catAx>
        <c:axId val="3964825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484255"/>
        <c:crosses val="autoZero"/>
        <c:auto val="1"/>
        <c:lblAlgn val="ctr"/>
        <c:lblOffset val="100"/>
        <c:noMultiLvlLbl val="0"/>
      </c:catAx>
      <c:valAx>
        <c:axId val="396484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48259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[Vishalini_Retail_Analytics_Final.xlsx]Pivot_Quantity_Category!PivotTable3</c:name>
    <c:fmtId val="2"/>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SUM</a:t>
            </a:r>
            <a:r>
              <a:rPr lang="en-US" baseline="0"/>
              <a:t> OF QUANTITY BY CATEGORY</a:t>
            </a:r>
            <a:endParaRPr lang="en-US"/>
          </a:p>
        </c:rich>
      </c:tx>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solidFill>
            <a:schemeClr val="accent4">
              <a:lumMod val="60000"/>
              <a:lumOff val="40000"/>
            </a:schemeClr>
          </a:solidFill>
          <a:ln>
            <a:noFill/>
          </a:ln>
          <a:effectLst/>
          <a:sp3d/>
        </c:spPr>
        <c:marker>
          <c:symbol val="none"/>
        </c:marker>
      </c:pivotFmt>
      <c:pivotFmt>
        <c:idx val="2"/>
        <c:spPr>
          <a:solidFill>
            <a:schemeClr val="accent4">
              <a:lumMod val="60000"/>
              <a:lumOff val="40000"/>
            </a:schemeClr>
          </a:solidFill>
          <a:ln>
            <a:noFill/>
          </a:ln>
          <a:effectLst/>
          <a:sp3d/>
        </c:spPr>
        <c:marker>
          <c:symbol val="none"/>
        </c:marker>
      </c:pivotFmt>
      <c:pivotFmt>
        <c:idx val="3"/>
        <c:spPr>
          <a:solidFill>
            <a:schemeClr val="accent4">
              <a:lumMod val="60000"/>
              <a:lumOff val="40000"/>
            </a:schemeClr>
          </a:solidFill>
          <a:ln>
            <a:noFill/>
          </a:ln>
          <a:effectLst/>
          <a:sp3d/>
        </c:spPr>
        <c:marker>
          <c:symbol val="none"/>
        </c:marker>
      </c:pivotFmt>
      <c:pivotFmt>
        <c:idx val="4"/>
        <c:spPr>
          <a:solidFill>
            <a:schemeClr val="accent4">
              <a:lumMod val="60000"/>
              <a:lumOff val="40000"/>
            </a:schemeClr>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Pivot_Quantity_Category!$B$1</c:f>
              <c:strCache>
                <c:ptCount val="1"/>
                <c:pt idx="0">
                  <c:v>Total</c:v>
                </c:pt>
              </c:strCache>
            </c:strRef>
          </c:tx>
          <c:spPr>
            <a:solidFill>
              <a:schemeClr val="accent4">
                <a:lumMod val="60000"/>
                <a:lumOff val="40000"/>
              </a:schemeClr>
            </a:solidFill>
            <a:ln>
              <a:noFill/>
            </a:ln>
            <a:effectLst/>
            <a:sp3d/>
          </c:spPr>
          <c:invertIfNegative val="0"/>
          <c:cat>
            <c:strRef>
              <c:f>Pivot_Quantity_Category!$A$2:$A$3</c:f>
              <c:strCache>
                <c:ptCount val="1"/>
                <c:pt idx="0">
                  <c:v>Clothing</c:v>
                </c:pt>
              </c:strCache>
            </c:strRef>
          </c:cat>
          <c:val>
            <c:numRef>
              <c:f>Pivot_Quantity_Category!$B$2:$B$3</c:f>
              <c:numCache>
                <c:formatCode>General</c:formatCode>
                <c:ptCount val="1"/>
                <c:pt idx="0">
                  <c:v>986</c:v>
                </c:pt>
              </c:numCache>
            </c:numRef>
          </c:val>
          <c:extLst>
            <c:ext xmlns:c16="http://schemas.microsoft.com/office/drawing/2014/chart" uri="{C3380CC4-5D6E-409C-BE32-E72D297353CC}">
              <c16:uniqueId val="{00000000-1374-4192-B34F-7B356F75C6FF}"/>
            </c:ext>
          </c:extLst>
        </c:ser>
        <c:dLbls>
          <c:showLegendKey val="0"/>
          <c:showVal val="0"/>
          <c:showCatName val="0"/>
          <c:showSerName val="0"/>
          <c:showPercent val="0"/>
          <c:showBubbleSize val="0"/>
        </c:dLbls>
        <c:gapWidth val="150"/>
        <c:gapDepth val="0"/>
        <c:shape val="box"/>
        <c:axId val="4527775"/>
        <c:axId val="4541919"/>
        <c:axId val="0"/>
      </c:bar3DChart>
      <c:catAx>
        <c:axId val="45277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1919"/>
        <c:crosses val="autoZero"/>
        <c:auto val="1"/>
        <c:lblAlgn val="ctr"/>
        <c:lblOffset val="100"/>
        <c:noMultiLvlLbl val="0"/>
      </c:catAx>
      <c:valAx>
        <c:axId val="4541919"/>
        <c:scaling>
          <c:orientation val="minMax"/>
        </c:scaling>
        <c:delete val="0"/>
        <c:axPos val="b"/>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777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[Vishalini_Retail_Analytics_Final.xlsx]Pivot_Sales_Region!PivotTable2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SALES BY REGION</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60000"/>
              <a:lumOff val="40000"/>
            </a:schemeClr>
          </a:solidFill>
          <a:ln>
            <a:noFill/>
          </a:ln>
          <a:effectLst/>
        </c:spPr>
        <c:marker>
          <c:symbol val="none"/>
        </c:marker>
      </c:pivotFmt>
      <c:pivotFmt>
        <c:idx val="1"/>
        <c:spPr>
          <a:solidFill>
            <a:schemeClr val="accent4">
              <a:lumMod val="60000"/>
              <a:lumOff val="40000"/>
            </a:schemeClr>
          </a:solidFill>
          <a:ln>
            <a:noFill/>
          </a:ln>
          <a:effectLst/>
        </c:spPr>
        <c:marker>
          <c:symbol val="none"/>
        </c:marker>
      </c:pivotFmt>
      <c:pivotFmt>
        <c:idx val="2"/>
        <c:spPr>
          <a:solidFill>
            <a:schemeClr val="accent4">
              <a:lumMod val="60000"/>
              <a:lumOff val="40000"/>
            </a:schemeClr>
          </a:solidFill>
          <a:ln>
            <a:noFill/>
          </a:ln>
          <a:effectLst/>
        </c:spPr>
        <c:marker>
          <c:symbol val="none"/>
        </c:marker>
      </c:pivotFmt>
      <c:pivotFmt>
        <c:idx val="3"/>
        <c:spPr>
          <a:solidFill>
            <a:schemeClr val="accent4">
              <a:lumMod val="60000"/>
              <a:lumOff val="40000"/>
            </a:schemeClr>
          </a:solidFill>
          <a:ln>
            <a:noFill/>
          </a:ln>
          <a:effectLst/>
        </c:spPr>
        <c:marker>
          <c:symbol val="none"/>
        </c:marker>
      </c:pivotFmt>
      <c:pivotFmt>
        <c:idx val="4"/>
        <c:spPr>
          <a:solidFill>
            <a:schemeClr val="accent4">
              <a:lumMod val="60000"/>
              <a:lumOff val="40000"/>
            </a:schemeClr>
          </a:solidFill>
          <a:ln>
            <a:noFill/>
          </a:ln>
          <a:effectLst/>
        </c:spPr>
        <c:marker>
          <c:symbol val="none"/>
        </c:marker>
      </c:pivotFmt>
    </c:pivotFmts>
    <c:plotArea>
      <c:layout/>
      <c:barChart>
        <c:barDir val="col"/>
        <c:grouping val="clustered"/>
        <c:varyColors val="0"/>
        <c:ser>
          <c:idx val="0"/>
          <c:order val="0"/>
          <c:tx>
            <c:strRef>
              <c:f>Pivot_Sales_Region!$B$1</c:f>
              <c:strCache>
                <c:ptCount val="1"/>
                <c:pt idx="0">
                  <c:v>Total</c:v>
                </c:pt>
              </c:strCache>
            </c:strRef>
          </c:tx>
          <c:spPr>
            <a:solidFill>
              <a:schemeClr val="accent4">
                <a:lumMod val="60000"/>
                <a:lumOff val="40000"/>
              </a:schemeClr>
            </a:solidFill>
            <a:ln>
              <a:noFill/>
            </a:ln>
            <a:effectLst/>
          </c:spPr>
          <c:invertIfNegative val="0"/>
          <c:cat>
            <c:strRef>
              <c:f>Pivot_Sales_Region!$A$2:$A$3</c:f>
              <c:strCache>
                <c:ptCount val="1"/>
                <c:pt idx="0">
                  <c:v>North</c:v>
                </c:pt>
              </c:strCache>
            </c:strRef>
          </c:cat>
          <c:val>
            <c:numRef>
              <c:f>Pivot_Sales_Region!$B$2:$B$3</c:f>
              <c:numCache>
                <c:formatCode>General</c:formatCode>
                <c:ptCount val="1"/>
                <c:pt idx="0">
                  <c:v>100478.57742234862</c:v>
                </c:pt>
              </c:numCache>
            </c:numRef>
          </c:val>
          <c:extLst>
            <c:ext xmlns:c16="http://schemas.microsoft.com/office/drawing/2014/chart" uri="{C3380CC4-5D6E-409C-BE32-E72D297353CC}">
              <c16:uniqueId val="{00000000-119A-4E7F-AB4E-620AC94AF89B}"/>
            </c:ext>
          </c:extLst>
        </c:ser>
        <c:dLbls>
          <c:showLegendKey val="0"/>
          <c:showVal val="0"/>
          <c:showCatName val="0"/>
          <c:showSerName val="0"/>
          <c:showPercent val="0"/>
          <c:showBubbleSize val="0"/>
        </c:dLbls>
        <c:gapWidth val="219"/>
        <c:overlap val="-27"/>
        <c:axId val="4017567"/>
        <c:axId val="4023807"/>
      </c:barChart>
      <c:catAx>
        <c:axId val="4017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3807"/>
        <c:crosses val="autoZero"/>
        <c:auto val="1"/>
        <c:lblAlgn val="ctr"/>
        <c:lblOffset val="100"/>
        <c:noMultiLvlLbl val="0"/>
      </c:catAx>
      <c:valAx>
        <c:axId val="40238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756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[Vishalini_Retail_Analytics_Final.xlsx]Pivot_Monthly_Sales!PivotTable7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MONTHLY</a:t>
            </a:r>
            <a:r>
              <a:rPr lang="en-US" b="1" baseline="0"/>
              <a:t> SALES</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s>
    <c:plotArea>
      <c:layout/>
      <c:pieChart>
        <c:varyColors val="1"/>
        <c:ser>
          <c:idx val="0"/>
          <c:order val="0"/>
          <c:tx>
            <c:strRef>
              <c:f>Pivot_Monthly_Sales!$B$3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44E-4C9F-884B-4A446BC6D25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44E-4C9F-884B-4A446BC6D25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44E-4C9F-884B-4A446BC6D25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44E-4C9F-884B-4A446BC6D25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44E-4C9F-884B-4A446BC6D25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44E-4C9F-884B-4A446BC6D25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C44E-4C9F-884B-4A446BC6D256}"/>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C44E-4C9F-884B-4A446BC6D256}"/>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C44E-4C9F-884B-4A446BC6D256}"/>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C44E-4C9F-884B-4A446BC6D256}"/>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C44E-4C9F-884B-4A446BC6D256}"/>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C44E-4C9F-884B-4A446BC6D256}"/>
              </c:ext>
            </c:extLst>
          </c:dPt>
          <c:cat>
            <c:strRef>
              <c:f>Pivot_Monthly_Sales!$A$4:$A$16</c:f>
              <c:strCache>
                <c:ptCount val="12"/>
                <c:pt idx="0">
                  <c:v>Apr</c:v>
                </c:pt>
                <c:pt idx="1">
                  <c:v>Aug</c:v>
                </c:pt>
                <c:pt idx="2">
                  <c:v>Dec</c:v>
                </c:pt>
                <c:pt idx="3">
                  <c:v>Feb</c:v>
                </c:pt>
                <c:pt idx="4">
                  <c:v>Jan</c:v>
                </c:pt>
                <c:pt idx="5">
                  <c:v>Jul</c:v>
                </c:pt>
                <c:pt idx="6">
                  <c:v>Jun</c:v>
                </c:pt>
                <c:pt idx="7">
                  <c:v>Mar</c:v>
                </c:pt>
                <c:pt idx="8">
                  <c:v>May</c:v>
                </c:pt>
                <c:pt idx="9">
                  <c:v>Nov</c:v>
                </c:pt>
                <c:pt idx="10">
                  <c:v>Oct</c:v>
                </c:pt>
                <c:pt idx="11">
                  <c:v>Sep</c:v>
                </c:pt>
              </c:strCache>
            </c:strRef>
          </c:cat>
          <c:val>
            <c:numRef>
              <c:f>Pivot_Monthly_Sales!$B$4:$B$16</c:f>
              <c:numCache>
                <c:formatCode>General</c:formatCode>
                <c:ptCount val="12"/>
                <c:pt idx="0">
                  <c:v>25650.214682180031</c:v>
                </c:pt>
                <c:pt idx="1">
                  <c:v>34389.664588779822</c:v>
                </c:pt>
                <c:pt idx="2">
                  <c:v>30937.517273575904</c:v>
                </c:pt>
                <c:pt idx="3">
                  <c:v>27255.750941361734</c:v>
                </c:pt>
                <c:pt idx="4">
                  <c:v>50663.580950083007</c:v>
                </c:pt>
                <c:pt idx="5">
                  <c:v>34885.93221897239</c:v>
                </c:pt>
                <c:pt idx="6">
                  <c:v>31998.505183869693</c:v>
                </c:pt>
                <c:pt idx="7">
                  <c:v>28520.74889350669</c:v>
                </c:pt>
                <c:pt idx="8">
                  <c:v>31447.010498772324</c:v>
                </c:pt>
                <c:pt idx="9">
                  <c:v>30586.290597129013</c:v>
                </c:pt>
                <c:pt idx="10">
                  <c:v>30509.962256744686</c:v>
                </c:pt>
                <c:pt idx="11">
                  <c:v>30765.660605988276</c:v>
                </c:pt>
              </c:numCache>
            </c:numRef>
          </c:val>
          <c:extLst>
            <c:ext xmlns:c16="http://schemas.microsoft.com/office/drawing/2014/chart" uri="{C3380CC4-5D6E-409C-BE32-E72D297353CC}">
              <c16:uniqueId val="{00000018-C44E-4C9F-884B-4A446BC6D256}"/>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[Vishalini_Retail_Analytics_Final.xlsx]Pivot_Safety_Stock!PivotTable8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AVERAGE SAFETY STOCK BY CATEGORY</a:t>
            </a:r>
            <a:endParaRPr lang="en-US" b="1"/>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60000"/>
              <a:lumOff val="40000"/>
            </a:schemeClr>
          </a:solidFill>
          <a:ln>
            <a:noFill/>
          </a:ln>
          <a:effectLst/>
          <a:sp3d/>
        </c:spPr>
        <c:marker>
          <c:symbol val="none"/>
        </c:marker>
      </c:pivotFmt>
      <c:pivotFmt>
        <c:idx val="1"/>
        <c:spPr>
          <a:solidFill>
            <a:schemeClr val="accent4">
              <a:lumMod val="60000"/>
              <a:lumOff val="40000"/>
            </a:schemeClr>
          </a:solidFill>
          <a:ln>
            <a:noFill/>
          </a:ln>
          <a:effectLst/>
          <a:sp3d/>
        </c:spPr>
        <c:marker>
          <c:symbol val="none"/>
        </c:marker>
      </c:pivotFmt>
      <c:pivotFmt>
        <c:idx val="2"/>
        <c:spPr>
          <a:solidFill>
            <a:schemeClr val="accent4">
              <a:lumMod val="60000"/>
              <a:lumOff val="40000"/>
            </a:schemeClr>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Pivot_Safety_Stock!$B$3</c:f>
              <c:strCache>
                <c:ptCount val="1"/>
                <c:pt idx="0">
                  <c:v>Total</c:v>
                </c:pt>
              </c:strCache>
            </c:strRef>
          </c:tx>
          <c:spPr>
            <a:solidFill>
              <a:schemeClr val="accent4">
                <a:lumMod val="60000"/>
                <a:lumOff val="40000"/>
              </a:schemeClr>
            </a:solidFill>
            <a:ln>
              <a:noFill/>
            </a:ln>
            <a:effectLst/>
            <a:sp3d/>
          </c:spPr>
          <c:invertIfNegative val="0"/>
          <c:cat>
            <c:strRef>
              <c:f>Pivot_Safety_Stock!$A$4:$A$8</c:f>
              <c:strCache>
                <c:ptCount val="4"/>
                <c:pt idx="0">
                  <c:v>0</c:v>
                </c:pt>
                <c:pt idx="1">
                  <c:v>Clothing</c:v>
                </c:pt>
                <c:pt idx="2">
                  <c:v>Electronics</c:v>
                </c:pt>
                <c:pt idx="3">
                  <c:v>Unknown</c:v>
                </c:pt>
              </c:strCache>
            </c:strRef>
          </c:cat>
          <c:val>
            <c:numRef>
              <c:f>Pivot_Safety_Stock!$B$4:$B$8</c:f>
              <c:numCache>
                <c:formatCode>General</c:formatCode>
                <c:ptCount val="4"/>
                <c:pt idx="0">
                  <c:v>26.566513082689202</c:v>
                </c:pt>
                <c:pt idx="1">
                  <c:v>27.814050089993255</c:v>
                </c:pt>
                <c:pt idx="2">
                  <c:v>26.608170314909756</c:v>
                </c:pt>
                <c:pt idx="3">
                  <c:v>28.310247206688548</c:v>
                </c:pt>
              </c:numCache>
            </c:numRef>
          </c:val>
          <c:extLst>
            <c:ext xmlns:c16="http://schemas.microsoft.com/office/drawing/2014/chart" uri="{C3380CC4-5D6E-409C-BE32-E72D297353CC}">
              <c16:uniqueId val="{00000000-C187-42E9-8FB4-3C1BF7B40955}"/>
            </c:ext>
          </c:extLst>
        </c:ser>
        <c:dLbls>
          <c:showLegendKey val="0"/>
          <c:showVal val="0"/>
          <c:showCatName val="0"/>
          <c:showSerName val="0"/>
          <c:showPercent val="0"/>
          <c:showBubbleSize val="0"/>
        </c:dLbls>
        <c:gapWidth val="150"/>
        <c:shape val="box"/>
        <c:axId val="1149578847"/>
        <c:axId val="1149568031"/>
        <c:axId val="0"/>
      </c:bar3DChart>
      <c:catAx>
        <c:axId val="11495788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568031"/>
        <c:crosses val="autoZero"/>
        <c:auto val="1"/>
        <c:lblAlgn val="ctr"/>
        <c:lblOffset val="100"/>
        <c:noMultiLvlLbl val="0"/>
      </c:catAx>
      <c:valAx>
        <c:axId val="11495680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9578847"/>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forecast_chart!$B$1</c:f>
              <c:strCache>
                <c:ptCount val="1"/>
                <c:pt idx="0">
                  <c:v>Profit</c:v>
                </c:pt>
              </c:strCache>
            </c:strRef>
          </c:tx>
          <c:spPr>
            <a:ln w="28575" cap="rnd">
              <a:solidFill>
                <a:schemeClr val="accent1"/>
              </a:solidFill>
              <a:round/>
            </a:ln>
            <a:effectLst/>
          </c:spPr>
          <c:marker>
            <c:symbol val="none"/>
          </c:marker>
          <c:val>
            <c:numRef>
              <c:f>forecast_chart!$B$2:$B$485</c:f>
              <c:numCache>
                <c:formatCode>General</c:formatCode>
                <c:ptCount val="484"/>
                <c:pt idx="0">
                  <c:v>383.66424460000002</c:v>
                </c:pt>
                <c:pt idx="1">
                  <c:v>82.396149367770505</c:v>
                </c:pt>
                <c:pt idx="2">
                  <c:v>283.69699183768898</c:v>
                </c:pt>
                <c:pt idx="3">
                  <c:v>102.610250599933</c:v>
                </c:pt>
                <c:pt idx="4">
                  <c:v>273.04186276714802</c:v>
                </c:pt>
                <c:pt idx="5">
                  <c:v>340.90921960487702</c:v>
                </c:pt>
                <c:pt idx="6">
                  <c:v>525.16832052265102</c:v>
                </c:pt>
                <c:pt idx="7">
                  <c:v>69.290452181311196</c:v>
                </c:pt>
                <c:pt idx="8">
                  <c:v>136.92343580350101</c:v>
                </c:pt>
                <c:pt idx="9">
                  <c:v>258.22066110469001</c:v>
                </c:pt>
                <c:pt idx="10">
                  <c:v>62.2819895503103</c:v>
                </c:pt>
                <c:pt idx="11">
                  <c:v>227.78605751265599</c:v>
                </c:pt>
                <c:pt idx="12">
                  <c:v>163.140892452023</c:v>
                </c:pt>
                <c:pt idx="13">
                  <c:v>370.95586092322299</c:v>
                </c:pt>
                <c:pt idx="14">
                  <c:v>220.93844629734701</c:v>
                </c:pt>
                <c:pt idx="15">
                  <c:v>421.50086204765802</c:v>
                </c:pt>
                <c:pt idx="16">
                  <c:v>545.61772625387596</c:v>
                </c:pt>
                <c:pt idx="17">
                  <c:v>220.54394327459801</c:v>
                </c:pt>
                <c:pt idx="18">
                  <c:v>183.830902128823</c:v>
                </c:pt>
                <c:pt idx="19">
                  <c:v>303.46323003799898</c:v>
                </c:pt>
                <c:pt idx="20">
                  <c:v>253.43330069370299</c:v>
                </c:pt>
                <c:pt idx="21">
                  <c:v>269.06703734444</c:v>
                </c:pt>
                <c:pt idx="22">
                  <c:v>177.49091336932699</c:v>
                </c:pt>
                <c:pt idx="23">
                  <c:v>105.48481010603</c:v>
                </c:pt>
                <c:pt idx="24">
                  <c:v>80.935934995325994</c:v>
                </c:pt>
                <c:pt idx="25">
                  <c:v>150.43077621635399</c:v>
                </c:pt>
                <c:pt idx="26">
                  <c:v>301.06563342491</c:v>
                </c:pt>
                <c:pt idx="27">
                  <c:v>156.22396105974599</c:v>
                </c:pt>
                <c:pt idx="28">
                  <c:v>139.70609038717799</c:v>
                </c:pt>
                <c:pt idx="29">
                  <c:v>260.91175041210403</c:v>
                </c:pt>
                <c:pt idx="30">
                  <c:v>253.00296270000001</c:v>
                </c:pt>
                <c:pt idx="31">
                  <c:v>113.610555411551</c:v>
                </c:pt>
                <c:pt idx="32">
                  <c:v>102.871729433615</c:v>
                </c:pt>
                <c:pt idx="33">
                  <c:v>212.40695876411101</c:v>
                </c:pt>
                <c:pt idx="34">
                  <c:v>80.137140011261906</c:v>
                </c:pt>
                <c:pt idx="35">
                  <c:v>218.91621929329699</c:v>
                </c:pt>
                <c:pt idx="36">
                  <c:v>93.229376409035197</c:v>
                </c:pt>
                <c:pt idx="37">
                  <c:v>373.46066450000001</c:v>
                </c:pt>
                <c:pt idx="38">
                  <c:v>252.78977447474799</c:v>
                </c:pt>
                <c:pt idx="39">
                  <c:v>153.610308003135</c:v>
                </c:pt>
                <c:pt idx="40">
                  <c:v>233.05521558658501</c:v>
                </c:pt>
                <c:pt idx="41">
                  <c:v>327.76191963448002</c:v>
                </c:pt>
                <c:pt idx="42">
                  <c:v>294.39953295401699</c:v>
                </c:pt>
                <c:pt idx="43">
                  <c:v>393.46396488586799</c:v>
                </c:pt>
                <c:pt idx="44">
                  <c:v>338.03866799999997</c:v>
                </c:pt>
                <c:pt idx="45">
                  <c:v>201.918528882103</c:v>
                </c:pt>
                <c:pt idx="46">
                  <c:v>269.61020140274002</c:v>
                </c:pt>
                <c:pt idx="47">
                  <c:v>257.78286474082199</c:v>
                </c:pt>
                <c:pt idx="48">
                  <c:v>109.67029135562299</c:v>
                </c:pt>
                <c:pt idx="49">
                  <c:v>395.244053806024</c:v>
                </c:pt>
                <c:pt idx="50">
                  <c:v>183.446290883057</c:v>
                </c:pt>
                <c:pt idx="51">
                  <c:v>110.29950199240901</c:v>
                </c:pt>
                <c:pt idx="52">
                  <c:v>404.21816104767203</c:v>
                </c:pt>
                <c:pt idx="53">
                  <c:v>254.902336427085</c:v>
                </c:pt>
                <c:pt idx="54">
                  <c:v>329.63541197242301</c:v>
                </c:pt>
                <c:pt idx="55">
                  <c:v>315.711118373548</c:v>
                </c:pt>
                <c:pt idx="56">
                  <c:v>316.66518283843101</c:v>
                </c:pt>
                <c:pt idx="57">
                  <c:v>123.350459386094</c:v>
                </c:pt>
                <c:pt idx="58">
                  <c:v>703.22841779999999</c:v>
                </c:pt>
                <c:pt idx="59">
                  <c:v>414.11174945570798</c:v>
                </c:pt>
                <c:pt idx="60">
                  <c:v>188.07665030618799</c:v>
                </c:pt>
                <c:pt idx="61">
                  <c:v>285.87966721734199</c:v>
                </c:pt>
                <c:pt idx="62">
                  <c:v>168.32620210715999</c:v>
                </c:pt>
                <c:pt idx="63">
                  <c:v>175.37551818310999</c:v>
                </c:pt>
                <c:pt idx="64">
                  <c:v>218.19057566543799</c:v>
                </c:pt>
                <c:pt idx="65">
                  <c:v>105.948970542319</c:v>
                </c:pt>
                <c:pt idx="66">
                  <c:v>168.843521708422</c:v>
                </c:pt>
                <c:pt idx="67">
                  <c:v>195.568470060126</c:v>
                </c:pt>
                <c:pt idx="68">
                  <c:v>314.11838856900101</c:v>
                </c:pt>
                <c:pt idx="69">
                  <c:v>82.689476400846999</c:v>
                </c:pt>
                <c:pt idx="70">
                  <c:v>149.55148993737399</c:v>
                </c:pt>
                <c:pt idx="71">
                  <c:v>92.796076354245201</c:v>
                </c:pt>
                <c:pt idx="72">
                  <c:v>242.088424018159</c:v>
                </c:pt>
                <c:pt idx="73">
                  <c:v>388.56985448801998</c:v>
                </c:pt>
                <c:pt idx="74">
                  <c:v>215.782801520974</c:v>
                </c:pt>
                <c:pt idx="75">
                  <c:v>166.35913372867401</c:v>
                </c:pt>
                <c:pt idx="76">
                  <c:v>211.07710282903699</c:v>
                </c:pt>
                <c:pt idx="77">
                  <c:v>216.99236748971899</c:v>
                </c:pt>
                <c:pt idx="78">
                  <c:v>152.780281353905</c:v>
                </c:pt>
                <c:pt idx="79">
                  <c:v>175.23222358088401</c:v>
                </c:pt>
                <c:pt idx="80">
                  <c:v>235.63162032358699</c:v>
                </c:pt>
                <c:pt idx="81">
                  <c:v>261.58209416891998</c:v>
                </c:pt>
                <c:pt idx="82">
                  <c:v>183.929457591627</c:v>
                </c:pt>
                <c:pt idx="83">
                  <c:v>412.414536489451</c:v>
                </c:pt>
                <c:pt idx="84">
                  <c:v>312.68334752305702</c:v>
                </c:pt>
                <c:pt idx="85">
                  <c:v>344.58351129584503</c:v>
                </c:pt>
                <c:pt idx="86">
                  <c:v>284.30868386872402</c:v>
                </c:pt>
                <c:pt idx="87">
                  <c:v>181.108346724043</c:v>
                </c:pt>
                <c:pt idx="88">
                  <c:v>307.13622939453802</c:v>
                </c:pt>
                <c:pt idx="89">
                  <c:v>235.67912237360699</c:v>
                </c:pt>
                <c:pt idx="90">
                  <c:v>570.41687473221998</c:v>
                </c:pt>
                <c:pt idx="91">
                  <c:v>387.070449827826</c:v>
                </c:pt>
                <c:pt idx="92">
                  <c:v>141.876228108475</c:v>
                </c:pt>
                <c:pt idx="93">
                  <c:v>0</c:v>
                </c:pt>
                <c:pt idx="94">
                  <c:v>239.31911902152001</c:v>
                </c:pt>
                <c:pt idx="95">
                  <c:v>188.93918534839699</c:v>
                </c:pt>
                <c:pt idx="96">
                  <c:v>178.92973284868501</c:v>
                </c:pt>
                <c:pt idx="97">
                  <c:v>462.15698117454298</c:v>
                </c:pt>
                <c:pt idx="98">
                  <c:v>92.274782204987901</c:v>
                </c:pt>
                <c:pt idx="99">
                  <c:v>214.286482024268</c:v>
                </c:pt>
                <c:pt idx="100">
                  <c:v>226.251072208967</c:v>
                </c:pt>
                <c:pt idx="101">
                  <c:v>235.514287445593</c:v>
                </c:pt>
                <c:pt idx="102">
                  <c:v>234.883674913531</c:v>
                </c:pt>
                <c:pt idx="103">
                  <c:v>248.67113478526699</c:v>
                </c:pt>
                <c:pt idx="104">
                  <c:v>289.30405032633797</c:v>
                </c:pt>
                <c:pt idx="105">
                  <c:v>153.21088839887699</c:v>
                </c:pt>
                <c:pt idx="106">
                  <c:v>329.67448057366499</c:v>
                </c:pt>
                <c:pt idx="107">
                  <c:v>118.47594844685</c:v>
                </c:pt>
                <c:pt idx="108">
                  <c:v>331.306397925152</c:v>
                </c:pt>
                <c:pt idx="109">
                  <c:v>246.49923273650501</c:v>
                </c:pt>
                <c:pt idx="110">
                  <c:v>403.06894183964602</c:v>
                </c:pt>
                <c:pt idx="111">
                  <c:v>139.64327688579499</c:v>
                </c:pt>
                <c:pt idx="112">
                  <c:v>405.56066187876098</c:v>
                </c:pt>
                <c:pt idx="113">
                  <c:v>213.09395856250799</c:v>
                </c:pt>
                <c:pt idx="114">
                  <c:v>97.167825245427693</c:v>
                </c:pt>
                <c:pt idx="115">
                  <c:v>471.09028029872701</c:v>
                </c:pt>
                <c:pt idx="116">
                  <c:v>252.88442120168199</c:v>
                </c:pt>
                <c:pt idx="117">
                  <c:v>169.231502632706</c:v>
                </c:pt>
                <c:pt idx="118">
                  <c:v>170.74688889999999</c:v>
                </c:pt>
                <c:pt idx="119">
                  <c:v>270.31086323950302</c:v>
                </c:pt>
                <c:pt idx="120">
                  <c:v>226.298978161701</c:v>
                </c:pt>
                <c:pt idx="121">
                  <c:v>149.54357961277699</c:v>
                </c:pt>
                <c:pt idx="122">
                  <c:v>335.38739134748198</c:v>
                </c:pt>
                <c:pt idx="123">
                  <c:v>216.86994373699901</c:v>
                </c:pt>
                <c:pt idx="124">
                  <c:v>320.984752197376</c:v>
                </c:pt>
                <c:pt idx="125">
                  <c:v>57.800889410508702</c:v>
                </c:pt>
                <c:pt idx="126">
                  <c:v>112.28326843280099</c:v>
                </c:pt>
                <c:pt idx="127">
                  <c:v>563.63367293767101</c:v>
                </c:pt>
                <c:pt idx="128">
                  <c:v>247.526107857634</c:v>
                </c:pt>
                <c:pt idx="129">
                  <c:v>195.12160404069201</c:v>
                </c:pt>
                <c:pt idx="130">
                  <c:v>297.045452910253</c:v>
                </c:pt>
                <c:pt idx="131">
                  <c:v>359.15159518923298</c:v>
                </c:pt>
                <c:pt idx="132">
                  <c:v>208.97659009245999</c:v>
                </c:pt>
                <c:pt idx="133">
                  <c:v>178.771371460203</c:v>
                </c:pt>
                <c:pt idx="134">
                  <c:v>562.21840579272202</c:v>
                </c:pt>
                <c:pt idx="135">
                  <c:v>142.01613108690799</c:v>
                </c:pt>
                <c:pt idx="136">
                  <c:v>201.15506009989701</c:v>
                </c:pt>
                <c:pt idx="137">
                  <c:v>371.27266355303499</c:v>
                </c:pt>
                <c:pt idx="138">
                  <c:v>187.65474193027401</c:v>
                </c:pt>
                <c:pt idx="139">
                  <c:v>440.14620092574597</c:v>
                </c:pt>
                <c:pt idx="140">
                  <c:v>307.28274438536101</c:v>
                </c:pt>
                <c:pt idx="141">
                  <c:v>250.87802220960299</c:v>
                </c:pt>
                <c:pt idx="142">
                  <c:v>165.3110088</c:v>
                </c:pt>
                <c:pt idx="143">
                  <c:v>149.57708996676899</c:v>
                </c:pt>
                <c:pt idx="144">
                  <c:v>179.10177461525299</c:v>
                </c:pt>
                <c:pt idx="145">
                  <c:v>342.69125305853697</c:v>
                </c:pt>
                <c:pt idx="146">
                  <c:v>157.75497605134501</c:v>
                </c:pt>
                <c:pt idx="147">
                  <c:v>203.09657752432301</c:v>
                </c:pt>
                <c:pt idx="148">
                  <c:v>263.81401465609798</c:v>
                </c:pt>
                <c:pt idx="149">
                  <c:v>557.37063161745402</c:v>
                </c:pt>
                <c:pt idx="150">
                  <c:v>636.87741229754704</c:v>
                </c:pt>
                <c:pt idx="151">
                  <c:v>552.89911614575499</c:v>
                </c:pt>
                <c:pt idx="152">
                  <c:v>315.91787182394501</c:v>
                </c:pt>
                <c:pt idx="153">
                  <c:v>428.33805950608797</c:v>
                </c:pt>
                <c:pt idx="154">
                  <c:v>229.07493371053701</c:v>
                </c:pt>
                <c:pt idx="155">
                  <c:v>117.231282202128</c:v>
                </c:pt>
                <c:pt idx="156">
                  <c:v>175.01750184321099</c:v>
                </c:pt>
                <c:pt idx="157">
                  <c:v>232.59839604950099</c:v>
                </c:pt>
                <c:pt idx="158">
                  <c:v>105.690048477697</c:v>
                </c:pt>
                <c:pt idx="159">
                  <c:v>125.380144135336</c:v>
                </c:pt>
                <c:pt idx="160">
                  <c:v>153.049923772466</c:v>
                </c:pt>
                <c:pt idx="161">
                  <c:v>460.02329587849698</c:v>
                </c:pt>
                <c:pt idx="162">
                  <c:v>200.60740644236401</c:v>
                </c:pt>
                <c:pt idx="163">
                  <c:v>287.46920413629198</c:v>
                </c:pt>
                <c:pt idx="164">
                  <c:v>209.525167279892</c:v>
                </c:pt>
                <c:pt idx="165">
                  <c:v>275.391531981095</c:v>
                </c:pt>
                <c:pt idx="166">
                  <c:v>304.00176982149901</c:v>
                </c:pt>
                <c:pt idx="167">
                  <c:v>163.20654648040701</c:v>
                </c:pt>
                <c:pt idx="168">
                  <c:v>439.172329895975</c:v>
                </c:pt>
                <c:pt idx="169">
                  <c:v>152.91431714237501</c:v>
                </c:pt>
                <c:pt idx="170">
                  <c:v>561.08978311048304</c:v>
                </c:pt>
                <c:pt idx="171">
                  <c:v>180.22385099980301</c:v>
                </c:pt>
                <c:pt idx="172">
                  <c:v>346.55870627556197</c:v>
                </c:pt>
                <c:pt idx="173">
                  <c:v>273.82984319219997</c:v>
                </c:pt>
                <c:pt idx="174">
                  <c:v>311.31402549979799</c:v>
                </c:pt>
                <c:pt idx="175">
                  <c:v>80.060870863503894</c:v>
                </c:pt>
                <c:pt idx="176">
                  <c:v>138.65393649644199</c:v>
                </c:pt>
                <c:pt idx="177">
                  <c:v>324.993288183066</c:v>
                </c:pt>
                <c:pt idx="178">
                  <c:v>159.19767820486001</c:v>
                </c:pt>
                <c:pt idx="179">
                  <c:v>161.510667843683</c:v>
                </c:pt>
                <c:pt idx="180">
                  <c:v>211.80859393671</c:v>
                </c:pt>
                <c:pt idx="181">
                  <c:v>313.37684299945602</c:v>
                </c:pt>
                <c:pt idx="182">
                  <c:v>350.25217596642699</c:v>
                </c:pt>
                <c:pt idx="183">
                  <c:v>268.97543025806903</c:v>
                </c:pt>
                <c:pt idx="184">
                  <c:v>394.23798813274601</c:v>
                </c:pt>
                <c:pt idx="185">
                  <c:v>262.45037666761601</c:v>
                </c:pt>
                <c:pt idx="186">
                  <c:v>397.90859045952698</c:v>
                </c:pt>
                <c:pt idx="187">
                  <c:v>295.508981560363</c:v>
                </c:pt>
                <c:pt idx="188">
                  <c:v>142.05116311434799</c:v>
                </c:pt>
                <c:pt idx="189">
                  <c:v>305.64205009912899</c:v>
                </c:pt>
                <c:pt idx="190">
                  <c:v>140.42968048265001</c:v>
                </c:pt>
                <c:pt idx="191">
                  <c:v>78.148916178761894</c:v>
                </c:pt>
                <c:pt idx="192">
                  <c:v>314.91357593374198</c:v>
                </c:pt>
                <c:pt idx="193">
                  <c:v>392.67806254882697</c:v>
                </c:pt>
                <c:pt idx="194">
                  <c:v>362.418797129822</c:v>
                </c:pt>
                <c:pt idx="195">
                  <c:v>100.719093366938</c:v>
                </c:pt>
                <c:pt idx="196">
                  <c:v>235.26335667154299</c:v>
                </c:pt>
                <c:pt idx="197">
                  <c:v>307.06177236342398</c:v>
                </c:pt>
                <c:pt idx="198">
                  <c:v>519.84526049413705</c:v>
                </c:pt>
                <c:pt idx="199">
                  <c:v>338.55689288704502</c:v>
                </c:pt>
                <c:pt idx="200">
                  <c:v>143.496548388126</c:v>
                </c:pt>
                <c:pt idx="201">
                  <c:v>553.95605350000005</c:v>
                </c:pt>
                <c:pt idx="202">
                  <c:v>297.99748655150501</c:v>
                </c:pt>
                <c:pt idx="203">
                  <c:v>476.93123057487497</c:v>
                </c:pt>
                <c:pt idx="204">
                  <c:v>278.03190359331501</c:v>
                </c:pt>
                <c:pt idx="205">
                  <c:v>115.151286340506</c:v>
                </c:pt>
                <c:pt idx="206">
                  <c:v>443.59078406446702</c:v>
                </c:pt>
                <c:pt idx="207">
                  <c:v>105.8375044</c:v>
                </c:pt>
                <c:pt idx="208">
                  <c:v>314.00040369724502</c:v>
                </c:pt>
                <c:pt idx="209">
                  <c:v>337.14921459098798</c:v>
                </c:pt>
                <c:pt idx="210">
                  <c:v>397.67162081883799</c:v>
                </c:pt>
                <c:pt idx="211">
                  <c:v>340.35350391557802</c:v>
                </c:pt>
                <c:pt idx="212">
                  <c:v>222.49425478711501</c:v>
                </c:pt>
                <c:pt idx="213">
                  <c:v>214.458906313136</c:v>
                </c:pt>
                <c:pt idx="214">
                  <c:v>269.60583783342503</c:v>
                </c:pt>
                <c:pt idx="215">
                  <c:v>446.48886311974201</c:v>
                </c:pt>
                <c:pt idx="216">
                  <c:v>518.69628569999998</c:v>
                </c:pt>
                <c:pt idx="217">
                  <c:v>380.42364829816898</c:v>
                </c:pt>
                <c:pt idx="218">
                  <c:v>227.909774297105</c:v>
                </c:pt>
                <c:pt idx="219">
                  <c:v>296.60479823213899</c:v>
                </c:pt>
                <c:pt idx="220">
                  <c:v>113.262065392406</c:v>
                </c:pt>
                <c:pt idx="221">
                  <c:v>183.83038630196299</c:v>
                </c:pt>
                <c:pt idx="222">
                  <c:v>146.929611722836</c:v>
                </c:pt>
                <c:pt idx="223">
                  <c:v>362.64235106781803</c:v>
                </c:pt>
                <c:pt idx="224">
                  <c:v>298.79125647475399</c:v>
                </c:pt>
                <c:pt idx="225">
                  <c:v>139.574640460757</c:v>
                </c:pt>
                <c:pt idx="226">
                  <c:v>155.426433317662</c:v>
                </c:pt>
                <c:pt idx="227">
                  <c:v>307.29814979261499</c:v>
                </c:pt>
                <c:pt idx="228">
                  <c:v>127.752108739495</c:v>
                </c:pt>
                <c:pt idx="229">
                  <c:v>516.25911559999997</c:v>
                </c:pt>
                <c:pt idx="230">
                  <c:v>121.846910285539</c:v>
                </c:pt>
                <c:pt idx="231">
                  <c:v>400.297082993331</c:v>
                </c:pt>
                <c:pt idx="232">
                  <c:v>154.95194749958401</c:v>
                </c:pt>
                <c:pt idx="233">
                  <c:v>184.016295841415</c:v>
                </c:pt>
                <c:pt idx="234">
                  <c:v>169.54673357306299</c:v>
                </c:pt>
                <c:pt idx="235">
                  <c:v>234.458042405127</c:v>
                </c:pt>
                <c:pt idx="236">
                  <c:v>213.74153438602099</c:v>
                </c:pt>
                <c:pt idx="237">
                  <c:v>161.232706241367</c:v>
                </c:pt>
                <c:pt idx="238">
                  <c:v>184.64141672933201</c:v>
                </c:pt>
                <c:pt idx="239">
                  <c:v>67.942790991796699</c:v>
                </c:pt>
                <c:pt idx="240">
                  <c:v>302.26256803764699</c:v>
                </c:pt>
                <c:pt idx="241">
                  <c:v>109.016980365717</c:v>
                </c:pt>
                <c:pt idx="242">
                  <c:v>207.384492659579</c:v>
                </c:pt>
                <c:pt idx="243">
                  <c:v>101.51934350000001</c:v>
                </c:pt>
                <c:pt idx="244">
                  <c:v>333.72392702620101</c:v>
                </c:pt>
                <c:pt idx="245">
                  <c:v>280.15856361277503</c:v>
                </c:pt>
                <c:pt idx="246">
                  <c:v>256.07393870749502</c:v>
                </c:pt>
                <c:pt idx="247">
                  <c:v>241.95626594511501</c:v>
                </c:pt>
                <c:pt idx="248">
                  <c:v>140.99779525022601</c:v>
                </c:pt>
                <c:pt idx="249">
                  <c:v>235.04698782346</c:v>
                </c:pt>
                <c:pt idx="250">
                  <c:v>226.47949579249101</c:v>
                </c:pt>
                <c:pt idx="251">
                  <c:v>137.37028769691099</c:v>
                </c:pt>
                <c:pt idx="252">
                  <c:v>630.16800081592498</c:v>
                </c:pt>
                <c:pt idx="253">
                  <c:v>339.33564462374198</c:v>
                </c:pt>
                <c:pt idx="254">
                  <c:v>160.572918347034</c:v>
                </c:pt>
                <c:pt idx="255">
                  <c:v>183.07586282335299</c:v>
                </c:pt>
                <c:pt idx="256">
                  <c:v>167.42725184880601</c:v>
                </c:pt>
                <c:pt idx="257">
                  <c:v>127.155975262377</c:v>
                </c:pt>
                <c:pt idx="258">
                  <c:v>208.75868309273699</c:v>
                </c:pt>
                <c:pt idx="259">
                  <c:v>356.76088385114201</c:v>
                </c:pt>
                <c:pt idx="260">
                  <c:v>88.943056312944904</c:v>
                </c:pt>
                <c:pt idx="261">
                  <c:v>369.64211876929198</c:v>
                </c:pt>
                <c:pt idx="262">
                  <c:v>119.898110446499</c:v>
                </c:pt>
                <c:pt idx="263">
                  <c:v>161.352592562458</c:v>
                </c:pt>
                <c:pt idx="264">
                  <c:v>146.46982770374001</c:v>
                </c:pt>
                <c:pt idx="265">
                  <c:v>263.01123525423901</c:v>
                </c:pt>
                <c:pt idx="266">
                  <c:v>254.99663242036101</c:v>
                </c:pt>
                <c:pt idx="267">
                  <c:v>220.33271496811</c:v>
                </c:pt>
                <c:pt idx="268">
                  <c:v>215.02177251813399</c:v>
                </c:pt>
                <c:pt idx="269">
                  <c:v>167.27893631422199</c:v>
                </c:pt>
                <c:pt idx="270">
                  <c:v>200.96097822537101</c:v>
                </c:pt>
                <c:pt idx="271">
                  <c:v>216.31650490000001</c:v>
                </c:pt>
                <c:pt idx="272">
                  <c:v>309.22644010815901</c:v>
                </c:pt>
                <c:pt idx="273">
                  <c:v>363.53660425812899</c:v>
                </c:pt>
                <c:pt idx="274">
                  <c:v>336.01768225793398</c:v>
                </c:pt>
                <c:pt idx="275">
                  <c:v>196.89721630128099</c:v>
                </c:pt>
                <c:pt idx="276">
                  <c:v>140.59231016340601</c:v>
                </c:pt>
                <c:pt idx="277">
                  <c:v>75.189017927423393</c:v>
                </c:pt>
                <c:pt idx="278">
                  <c:v>241.13789503513499</c:v>
                </c:pt>
                <c:pt idx="279">
                  <c:v>212.81451019447101</c:v>
                </c:pt>
                <c:pt idx="280">
                  <c:v>354.25121573506902</c:v>
                </c:pt>
                <c:pt idx="281">
                  <c:v>144.804289881285</c:v>
                </c:pt>
                <c:pt idx="282">
                  <c:v>83.083873150000002</c:v>
                </c:pt>
                <c:pt idx="283">
                  <c:v>424.57987961403597</c:v>
                </c:pt>
                <c:pt idx="284">
                  <c:v>416.17005700774001</c:v>
                </c:pt>
                <c:pt idx="285">
                  <c:v>215.53618360050299</c:v>
                </c:pt>
                <c:pt idx="286">
                  <c:v>227.58751733008501</c:v>
                </c:pt>
                <c:pt idx="287">
                  <c:v>94.038922080000006</c:v>
                </c:pt>
                <c:pt idx="288">
                  <c:v>135.893111812207</c:v>
                </c:pt>
                <c:pt idx="289">
                  <c:v>313.42602310000001</c:v>
                </c:pt>
                <c:pt idx="290">
                  <c:v>155.30566057752</c:v>
                </c:pt>
                <c:pt idx="291">
                  <c:v>132.811237567528</c:v>
                </c:pt>
                <c:pt idx="292">
                  <c:v>379.33594944213399</c:v>
                </c:pt>
                <c:pt idx="293">
                  <c:v>149.73025325836699</c:v>
                </c:pt>
                <c:pt idx="294">
                  <c:v>310.12652459873198</c:v>
                </c:pt>
                <c:pt idx="295">
                  <c:v>222.41974290033301</c:v>
                </c:pt>
                <c:pt idx="296">
                  <c:v>212.11142011698999</c:v>
                </c:pt>
                <c:pt idx="297">
                  <c:v>382.43828938754899</c:v>
                </c:pt>
                <c:pt idx="298">
                  <c:v>268.60342011284098</c:v>
                </c:pt>
                <c:pt idx="299">
                  <c:v>191.313721066234</c:v>
                </c:pt>
                <c:pt idx="300">
                  <c:v>146.250432169139</c:v>
                </c:pt>
                <c:pt idx="301">
                  <c:v>66.338132004805999</c:v>
                </c:pt>
                <c:pt idx="302">
                  <c:v>326.48468459999998</c:v>
                </c:pt>
                <c:pt idx="303">
                  <c:v>71.540395514655003</c:v>
                </c:pt>
                <c:pt idx="304">
                  <c:v>209.59692544915501</c:v>
                </c:pt>
                <c:pt idx="305">
                  <c:v>337.73341093666801</c:v>
                </c:pt>
                <c:pt idx="306">
                  <c:v>275.56251784161401</c:v>
                </c:pt>
                <c:pt idx="307">
                  <c:v>225.729536880323</c:v>
                </c:pt>
                <c:pt idx="308">
                  <c:v>367.96236823703703</c:v>
                </c:pt>
                <c:pt idx="309">
                  <c:v>103.646921671689</c:v>
                </c:pt>
                <c:pt idx="310">
                  <c:v>122.98471249365799</c:v>
                </c:pt>
                <c:pt idx="311">
                  <c:v>149.51835498182299</c:v>
                </c:pt>
                <c:pt idx="312">
                  <c:v>209.37779836874199</c:v>
                </c:pt>
                <c:pt idx="313">
                  <c:v>289.84957136990101</c:v>
                </c:pt>
                <c:pt idx="314">
                  <c:v>162.62091105674699</c:v>
                </c:pt>
                <c:pt idx="315">
                  <c:v>115.067919514057</c:v>
                </c:pt>
                <c:pt idx="316">
                  <c:v>187.85873344302999</c:v>
                </c:pt>
                <c:pt idx="317">
                  <c:v>145.813163426264</c:v>
                </c:pt>
                <c:pt idx="318">
                  <c:v>367.56742164873498</c:v>
                </c:pt>
                <c:pt idx="319">
                  <c:v>213.23276520426001</c:v>
                </c:pt>
                <c:pt idx="320">
                  <c:v>498.01366535174998</c:v>
                </c:pt>
                <c:pt idx="321">
                  <c:v>171.704003618402</c:v>
                </c:pt>
                <c:pt idx="322">
                  <c:v>162.79702696444099</c:v>
                </c:pt>
                <c:pt idx="323">
                  <c:v>522.06231344355103</c:v>
                </c:pt>
                <c:pt idx="324">
                  <c:v>445.705052840321</c:v>
                </c:pt>
                <c:pt idx="325">
                  <c:v>118.122335819927</c:v>
                </c:pt>
                <c:pt idx="326">
                  <c:v>159.181593459688</c:v>
                </c:pt>
                <c:pt idx="327">
                  <c:v>97.304520381281804</c:v>
                </c:pt>
                <c:pt idx="328">
                  <c:v>379.69971621093498</c:v>
                </c:pt>
                <c:pt idx="329">
                  <c:v>210.61302432358499</c:v>
                </c:pt>
                <c:pt idx="330">
                  <c:v>184.429641789383</c:v>
                </c:pt>
                <c:pt idx="331">
                  <c:v>285.21124729836401</c:v>
                </c:pt>
                <c:pt idx="332">
                  <c:v>242.754515443635</c:v>
                </c:pt>
                <c:pt idx="333">
                  <c:v>391.22230776104499</c:v>
                </c:pt>
                <c:pt idx="334">
                  <c:v>190.608814802506</c:v>
                </c:pt>
                <c:pt idx="335">
                  <c:v>213.74916242235301</c:v>
                </c:pt>
                <c:pt idx="336">
                  <c:v>267.81903683722697</c:v>
                </c:pt>
                <c:pt idx="337">
                  <c:v>176.47098593071701</c:v>
                </c:pt>
                <c:pt idx="338">
                  <c:v>365.85503044751903</c:v>
                </c:pt>
                <c:pt idx="339">
                  <c:v>154.54596454051199</c:v>
                </c:pt>
                <c:pt idx="340">
                  <c:v>145.04765309560801</c:v>
                </c:pt>
                <c:pt idx="341">
                  <c:v>95.813607135384103</c:v>
                </c:pt>
                <c:pt idx="342">
                  <c:v>327.12903705027702</c:v>
                </c:pt>
                <c:pt idx="343">
                  <c:v>334.407732688257</c:v>
                </c:pt>
                <c:pt idx="344">
                  <c:v>316.54284343151602</c:v>
                </c:pt>
                <c:pt idx="345">
                  <c:v>289.61583717263898</c:v>
                </c:pt>
                <c:pt idx="346">
                  <c:v>9.7956962450000002</c:v>
                </c:pt>
                <c:pt idx="347">
                  <c:v>317.12833931416998</c:v>
                </c:pt>
                <c:pt idx="348">
                  <c:v>300.290698702356</c:v>
                </c:pt>
                <c:pt idx="349">
                  <c:v>385.602781852833</c:v>
                </c:pt>
                <c:pt idx="350">
                  <c:v>132.39034681739699</c:v>
                </c:pt>
                <c:pt idx="351">
                  <c:v>239.97484993901199</c:v>
                </c:pt>
                <c:pt idx="352">
                  <c:v>222.40692019093601</c:v>
                </c:pt>
                <c:pt idx="353">
                  <c:v>289.25681833369299</c:v>
                </c:pt>
                <c:pt idx="354">
                  <c:v>186.899876102501</c:v>
                </c:pt>
                <c:pt idx="355">
                  <c:v>274.34325951622202</c:v>
                </c:pt>
                <c:pt idx="356">
                  <c:v>355.00138049999998</c:v>
                </c:pt>
                <c:pt idx="357">
                  <c:v>209.82466551493499</c:v>
                </c:pt>
                <c:pt idx="358">
                  <c:v>79.2077512360094</c:v>
                </c:pt>
                <c:pt idx="359">
                  <c:v>282.20426889994502</c:v>
                </c:pt>
                <c:pt idx="360">
                  <c:v>306.823140931887</c:v>
                </c:pt>
                <c:pt idx="361">
                  <c:v>450.77447115768899</c:v>
                </c:pt>
                <c:pt idx="362">
                  <c:v>407.59552367435703</c:v>
                </c:pt>
                <c:pt idx="363">
                  <c:v>113.51918706319</c:v>
                </c:pt>
                <c:pt idx="364">
                  <c:v>260.57701466835101</c:v>
                </c:pt>
                <c:pt idx="365">
                  <c:v>313.53854745817</c:v>
                </c:pt>
                <c:pt idx="366">
                  <c:v>389.04225379341801</c:v>
                </c:pt>
                <c:pt idx="367">
                  <c:v>219.78491738458101</c:v>
                </c:pt>
                <c:pt idx="368">
                  <c:v>192.761363693356</c:v>
                </c:pt>
                <c:pt idx="369">
                  <c:v>198.02929963599601</c:v>
                </c:pt>
                <c:pt idx="370">
                  <c:v>458.03823918189198</c:v>
                </c:pt>
                <c:pt idx="371">
                  <c:v>234.219043853324</c:v>
                </c:pt>
                <c:pt idx="372">
                  <c:v>346.345784990808</c:v>
                </c:pt>
                <c:pt idx="373">
                  <c:v>504.91800643596599</c:v>
                </c:pt>
                <c:pt idx="374">
                  <c:v>410.20785185085703</c:v>
                </c:pt>
                <c:pt idx="375">
                  <c:v>177.96221314303301</c:v>
                </c:pt>
                <c:pt idx="376">
                  <c:v>464.4491688</c:v>
                </c:pt>
                <c:pt idx="377">
                  <c:v>344.87367727171801</c:v>
                </c:pt>
                <c:pt idx="378">
                  <c:v>103.224709486164</c:v>
                </c:pt>
                <c:pt idx="379">
                  <c:v>113.403053693863</c:v>
                </c:pt>
                <c:pt idx="380">
                  <c:v>45.779076727529997</c:v>
                </c:pt>
                <c:pt idx="381">
                  <c:v>203.52155727456901</c:v>
                </c:pt>
                <c:pt idx="382">
                  <c:v>140.57140780987999</c:v>
                </c:pt>
                <c:pt idx="383">
                  <c:v>220.857116671797</c:v>
                </c:pt>
                <c:pt idx="384">
                  <c:v>341.43651917442298</c:v>
                </c:pt>
                <c:pt idx="385">
                  <c:v>128.25582196536101</c:v>
                </c:pt>
                <c:pt idx="386">
                  <c:v>353.464221248873</c:v>
                </c:pt>
              </c:numCache>
            </c:numRef>
          </c:val>
          <c:smooth val="0"/>
          <c:extLst>
            <c:ext xmlns:c16="http://schemas.microsoft.com/office/drawing/2014/chart" uri="{C3380CC4-5D6E-409C-BE32-E72D297353CC}">
              <c16:uniqueId val="{00000000-0FFF-4471-A08A-843D2C8ABA30}"/>
            </c:ext>
          </c:extLst>
        </c:ser>
        <c:ser>
          <c:idx val="1"/>
          <c:order val="1"/>
          <c:tx>
            <c:strRef>
              <c:f>forecast_chart!$C$1</c:f>
              <c:strCache>
                <c:ptCount val="1"/>
                <c:pt idx="0">
                  <c:v>Forecast(Profit)</c:v>
                </c:pt>
              </c:strCache>
            </c:strRef>
          </c:tx>
          <c:spPr>
            <a:ln w="25400" cap="rnd">
              <a:solidFill>
                <a:schemeClr val="accent2"/>
              </a:solidFill>
              <a:round/>
            </a:ln>
            <a:effectLst/>
          </c:spPr>
          <c:marker>
            <c:symbol val="none"/>
          </c:marker>
          <c:cat>
            <c:numRef>
              <c:f>forecast_chart!$A$2:$A$485</c:f>
              <c:numCache>
                <c:formatCode>dd-mm-yyyy</c:formatCode>
                <c:ptCount val="484"/>
                <c:pt idx="0">
                  <c:v>44927</c:v>
                </c:pt>
                <c:pt idx="1">
                  <c:v>44928</c:v>
                </c:pt>
                <c:pt idx="2">
                  <c:v>44929</c:v>
                </c:pt>
                <c:pt idx="3">
                  <c:v>44930</c:v>
                </c:pt>
                <c:pt idx="4">
                  <c:v>44931</c:v>
                </c:pt>
                <c:pt idx="5">
                  <c:v>44932</c:v>
                </c:pt>
                <c:pt idx="6">
                  <c:v>44933</c:v>
                </c:pt>
                <c:pt idx="7">
                  <c:v>44934</c:v>
                </c:pt>
                <c:pt idx="8">
                  <c:v>44935</c:v>
                </c:pt>
                <c:pt idx="9">
                  <c:v>44936</c:v>
                </c:pt>
                <c:pt idx="10">
                  <c:v>44937</c:v>
                </c:pt>
                <c:pt idx="11">
                  <c:v>44938</c:v>
                </c:pt>
                <c:pt idx="12">
                  <c:v>44939</c:v>
                </c:pt>
                <c:pt idx="13">
                  <c:v>44940</c:v>
                </c:pt>
                <c:pt idx="14">
                  <c:v>44941</c:v>
                </c:pt>
                <c:pt idx="15">
                  <c:v>44942</c:v>
                </c:pt>
                <c:pt idx="16">
                  <c:v>44943</c:v>
                </c:pt>
                <c:pt idx="17">
                  <c:v>44944</c:v>
                </c:pt>
                <c:pt idx="18">
                  <c:v>44945</c:v>
                </c:pt>
                <c:pt idx="19">
                  <c:v>44946</c:v>
                </c:pt>
                <c:pt idx="20">
                  <c:v>44947</c:v>
                </c:pt>
                <c:pt idx="21">
                  <c:v>44948</c:v>
                </c:pt>
                <c:pt idx="22">
                  <c:v>44949</c:v>
                </c:pt>
                <c:pt idx="23">
                  <c:v>44950</c:v>
                </c:pt>
                <c:pt idx="24">
                  <c:v>44951</c:v>
                </c:pt>
                <c:pt idx="25">
                  <c:v>44952</c:v>
                </c:pt>
                <c:pt idx="26">
                  <c:v>44953</c:v>
                </c:pt>
                <c:pt idx="27">
                  <c:v>44954</c:v>
                </c:pt>
                <c:pt idx="28">
                  <c:v>44955</c:v>
                </c:pt>
                <c:pt idx="29">
                  <c:v>44956</c:v>
                </c:pt>
                <c:pt idx="30">
                  <c:v>44957</c:v>
                </c:pt>
                <c:pt idx="31">
                  <c:v>44958</c:v>
                </c:pt>
                <c:pt idx="32">
                  <c:v>44959</c:v>
                </c:pt>
                <c:pt idx="33">
                  <c:v>44960</c:v>
                </c:pt>
                <c:pt idx="34">
                  <c:v>44961</c:v>
                </c:pt>
                <c:pt idx="35">
                  <c:v>44962</c:v>
                </c:pt>
                <c:pt idx="36">
                  <c:v>44963</c:v>
                </c:pt>
                <c:pt idx="37">
                  <c:v>44964</c:v>
                </c:pt>
                <c:pt idx="38">
                  <c:v>44965</c:v>
                </c:pt>
                <c:pt idx="39">
                  <c:v>44966</c:v>
                </c:pt>
                <c:pt idx="40">
                  <c:v>44967</c:v>
                </c:pt>
                <c:pt idx="41">
                  <c:v>44968</c:v>
                </c:pt>
                <c:pt idx="42">
                  <c:v>44969</c:v>
                </c:pt>
                <c:pt idx="43">
                  <c:v>44970</c:v>
                </c:pt>
                <c:pt idx="44">
                  <c:v>44971</c:v>
                </c:pt>
                <c:pt idx="45">
                  <c:v>44972</c:v>
                </c:pt>
                <c:pt idx="46">
                  <c:v>44973</c:v>
                </c:pt>
                <c:pt idx="47">
                  <c:v>44974</c:v>
                </c:pt>
                <c:pt idx="48">
                  <c:v>44975</c:v>
                </c:pt>
                <c:pt idx="49">
                  <c:v>44976</c:v>
                </c:pt>
                <c:pt idx="50">
                  <c:v>44977</c:v>
                </c:pt>
                <c:pt idx="51">
                  <c:v>44978</c:v>
                </c:pt>
                <c:pt idx="52">
                  <c:v>44979</c:v>
                </c:pt>
                <c:pt idx="53">
                  <c:v>44980</c:v>
                </c:pt>
                <c:pt idx="54">
                  <c:v>44981</c:v>
                </c:pt>
                <c:pt idx="55">
                  <c:v>44982</c:v>
                </c:pt>
                <c:pt idx="56">
                  <c:v>44983</c:v>
                </c:pt>
                <c:pt idx="57">
                  <c:v>44984</c:v>
                </c:pt>
                <c:pt idx="58">
                  <c:v>44985</c:v>
                </c:pt>
                <c:pt idx="59">
                  <c:v>44986</c:v>
                </c:pt>
                <c:pt idx="60">
                  <c:v>44987</c:v>
                </c:pt>
                <c:pt idx="61">
                  <c:v>44988</c:v>
                </c:pt>
                <c:pt idx="62">
                  <c:v>44989</c:v>
                </c:pt>
                <c:pt idx="63">
                  <c:v>44990</c:v>
                </c:pt>
                <c:pt idx="64">
                  <c:v>44991</c:v>
                </c:pt>
                <c:pt idx="65">
                  <c:v>44992</c:v>
                </c:pt>
                <c:pt idx="66">
                  <c:v>44993</c:v>
                </c:pt>
                <c:pt idx="67">
                  <c:v>44994</c:v>
                </c:pt>
                <c:pt idx="68">
                  <c:v>44995</c:v>
                </c:pt>
                <c:pt idx="69">
                  <c:v>44996</c:v>
                </c:pt>
                <c:pt idx="70">
                  <c:v>44997</c:v>
                </c:pt>
                <c:pt idx="71">
                  <c:v>44998</c:v>
                </c:pt>
                <c:pt idx="72">
                  <c:v>44999</c:v>
                </c:pt>
                <c:pt idx="73">
                  <c:v>45000</c:v>
                </c:pt>
                <c:pt idx="74">
                  <c:v>45001</c:v>
                </c:pt>
                <c:pt idx="75">
                  <c:v>45002</c:v>
                </c:pt>
                <c:pt idx="76">
                  <c:v>45003</c:v>
                </c:pt>
                <c:pt idx="77">
                  <c:v>45004</c:v>
                </c:pt>
                <c:pt idx="78">
                  <c:v>45005</c:v>
                </c:pt>
                <c:pt idx="79">
                  <c:v>45006</c:v>
                </c:pt>
                <c:pt idx="80">
                  <c:v>45007</c:v>
                </c:pt>
                <c:pt idx="81">
                  <c:v>45008</c:v>
                </c:pt>
                <c:pt idx="82">
                  <c:v>45009</c:v>
                </c:pt>
                <c:pt idx="83">
                  <c:v>45010</c:v>
                </c:pt>
                <c:pt idx="84">
                  <c:v>45011</c:v>
                </c:pt>
                <c:pt idx="85">
                  <c:v>45012</c:v>
                </c:pt>
                <c:pt idx="86">
                  <c:v>45013</c:v>
                </c:pt>
                <c:pt idx="87">
                  <c:v>45014</c:v>
                </c:pt>
                <c:pt idx="88">
                  <c:v>45015</c:v>
                </c:pt>
                <c:pt idx="89">
                  <c:v>45016</c:v>
                </c:pt>
                <c:pt idx="90">
                  <c:v>45017</c:v>
                </c:pt>
                <c:pt idx="91">
                  <c:v>45018</c:v>
                </c:pt>
                <c:pt idx="92">
                  <c:v>45019</c:v>
                </c:pt>
                <c:pt idx="93">
                  <c:v>45020</c:v>
                </c:pt>
                <c:pt idx="94">
                  <c:v>45021</c:v>
                </c:pt>
                <c:pt idx="95">
                  <c:v>45022</c:v>
                </c:pt>
                <c:pt idx="96">
                  <c:v>45023</c:v>
                </c:pt>
                <c:pt idx="97">
                  <c:v>45024</c:v>
                </c:pt>
                <c:pt idx="98">
                  <c:v>45025</c:v>
                </c:pt>
                <c:pt idx="99">
                  <c:v>45026</c:v>
                </c:pt>
                <c:pt idx="100">
                  <c:v>45027</c:v>
                </c:pt>
                <c:pt idx="101">
                  <c:v>45028</c:v>
                </c:pt>
                <c:pt idx="102">
                  <c:v>45029</c:v>
                </c:pt>
                <c:pt idx="103">
                  <c:v>45030</c:v>
                </c:pt>
                <c:pt idx="104">
                  <c:v>45031</c:v>
                </c:pt>
                <c:pt idx="105">
                  <c:v>45032</c:v>
                </c:pt>
                <c:pt idx="106">
                  <c:v>45033</c:v>
                </c:pt>
                <c:pt idx="107">
                  <c:v>45034</c:v>
                </c:pt>
                <c:pt idx="108">
                  <c:v>45035</c:v>
                </c:pt>
                <c:pt idx="109">
                  <c:v>45036</c:v>
                </c:pt>
                <c:pt idx="110">
                  <c:v>45037</c:v>
                </c:pt>
                <c:pt idx="111">
                  <c:v>45038</c:v>
                </c:pt>
                <c:pt idx="112">
                  <c:v>45039</c:v>
                </c:pt>
                <c:pt idx="113">
                  <c:v>45040</c:v>
                </c:pt>
                <c:pt idx="114">
                  <c:v>45041</c:v>
                </c:pt>
                <c:pt idx="115">
                  <c:v>45042</c:v>
                </c:pt>
                <c:pt idx="116">
                  <c:v>45043</c:v>
                </c:pt>
                <c:pt idx="117">
                  <c:v>45044</c:v>
                </c:pt>
                <c:pt idx="118">
                  <c:v>45045</c:v>
                </c:pt>
                <c:pt idx="119">
                  <c:v>45046</c:v>
                </c:pt>
                <c:pt idx="120">
                  <c:v>45047</c:v>
                </c:pt>
                <c:pt idx="121">
                  <c:v>45048</c:v>
                </c:pt>
                <c:pt idx="122">
                  <c:v>45049</c:v>
                </c:pt>
                <c:pt idx="123">
                  <c:v>45050</c:v>
                </c:pt>
                <c:pt idx="124">
                  <c:v>45051</c:v>
                </c:pt>
                <c:pt idx="125">
                  <c:v>45052</c:v>
                </c:pt>
                <c:pt idx="126">
                  <c:v>45053</c:v>
                </c:pt>
                <c:pt idx="127">
                  <c:v>45054</c:v>
                </c:pt>
                <c:pt idx="128">
                  <c:v>45055</c:v>
                </c:pt>
                <c:pt idx="129">
                  <c:v>45056</c:v>
                </c:pt>
                <c:pt idx="130">
                  <c:v>45057</c:v>
                </c:pt>
                <c:pt idx="131">
                  <c:v>45058</c:v>
                </c:pt>
                <c:pt idx="132">
                  <c:v>45059</c:v>
                </c:pt>
                <c:pt idx="133">
                  <c:v>45060</c:v>
                </c:pt>
                <c:pt idx="134">
                  <c:v>45061</c:v>
                </c:pt>
                <c:pt idx="135">
                  <c:v>45062</c:v>
                </c:pt>
                <c:pt idx="136">
                  <c:v>45063</c:v>
                </c:pt>
                <c:pt idx="137">
                  <c:v>45064</c:v>
                </c:pt>
                <c:pt idx="138">
                  <c:v>45065</c:v>
                </c:pt>
                <c:pt idx="139">
                  <c:v>45066</c:v>
                </c:pt>
                <c:pt idx="140">
                  <c:v>45067</c:v>
                </c:pt>
                <c:pt idx="141">
                  <c:v>45068</c:v>
                </c:pt>
                <c:pt idx="142">
                  <c:v>45069</c:v>
                </c:pt>
                <c:pt idx="143">
                  <c:v>45070</c:v>
                </c:pt>
                <c:pt idx="144">
                  <c:v>45071</c:v>
                </c:pt>
                <c:pt idx="145">
                  <c:v>45072</c:v>
                </c:pt>
                <c:pt idx="146">
                  <c:v>45073</c:v>
                </c:pt>
                <c:pt idx="147">
                  <c:v>45074</c:v>
                </c:pt>
                <c:pt idx="148">
                  <c:v>45075</c:v>
                </c:pt>
                <c:pt idx="149">
                  <c:v>45076</c:v>
                </c:pt>
                <c:pt idx="150">
                  <c:v>45077</c:v>
                </c:pt>
                <c:pt idx="151">
                  <c:v>45078</c:v>
                </c:pt>
                <c:pt idx="152">
                  <c:v>45079</c:v>
                </c:pt>
                <c:pt idx="153">
                  <c:v>45080</c:v>
                </c:pt>
                <c:pt idx="154">
                  <c:v>45081</c:v>
                </c:pt>
                <c:pt idx="155">
                  <c:v>45082</c:v>
                </c:pt>
                <c:pt idx="156">
                  <c:v>45083</c:v>
                </c:pt>
                <c:pt idx="157">
                  <c:v>45084</c:v>
                </c:pt>
                <c:pt idx="158">
                  <c:v>45085</c:v>
                </c:pt>
                <c:pt idx="159">
                  <c:v>45086</c:v>
                </c:pt>
                <c:pt idx="160">
                  <c:v>45087</c:v>
                </c:pt>
                <c:pt idx="161">
                  <c:v>45088</c:v>
                </c:pt>
                <c:pt idx="162">
                  <c:v>45089</c:v>
                </c:pt>
                <c:pt idx="163">
                  <c:v>45090</c:v>
                </c:pt>
                <c:pt idx="164">
                  <c:v>45091</c:v>
                </c:pt>
                <c:pt idx="165">
                  <c:v>45092</c:v>
                </c:pt>
                <c:pt idx="166">
                  <c:v>45093</c:v>
                </c:pt>
                <c:pt idx="167">
                  <c:v>45094</c:v>
                </c:pt>
                <c:pt idx="168">
                  <c:v>45095</c:v>
                </c:pt>
                <c:pt idx="169">
                  <c:v>45096</c:v>
                </c:pt>
                <c:pt idx="170">
                  <c:v>45097</c:v>
                </c:pt>
                <c:pt idx="171">
                  <c:v>45098</c:v>
                </c:pt>
                <c:pt idx="172">
                  <c:v>45099</c:v>
                </c:pt>
                <c:pt idx="173">
                  <c:v>45100</c:v>
                </c:pt>
                <c:pt idx="174">
                  <c:v>45101</c:v>
                </c:pt>
                <c:pt idx="175">
                  <c:v>45102</c:v>
                </c:pt>
                <c:pt idx="176">
                  <c:v>45103</c:v>
                </c:pt>
                <c:pt idx="177">
                  <c:v>45104</c:v>
                </c:pt>
                <c:pt idx="178">
                  <c:v>45105</c:v>
                </c:pt>
                <c:pt idx="179">
                  <c:v>45106</c:v>
                </c:pt>
                <c:pt idx="180">
                  <c:v>45107</c:v>
                </c:pt>
                <c:pt idx="181">
                  <c:v>45108</c:v>
                </c:pt>
                <c:pt idx="182">
                  <c:v>45109</c:v>
                </c:pt>
                <c:pt idx="183">
                  <c:v>45110</c:v>
                </c:pt>
                <c:pt idx="184">
                  <c:v>45111</c:v>
                </c:pt>
                <c:pt idx="185">
                  <c:v>45112</c:v>
                </c:pt>
                <c:pt idx="186">
                  <c:v>45113</c:v>
                </c:pt>
                <c:pt idx="187">
                  <c:v>45114</c:v>
                </c:pt>
                <c:pt idx="188">
                  <c:v>45115</c:v>
                </c:pt>
                <c:pt idx="189">
                  <c:v>45116</c:v>
                </c:pt>
                <c:pt idx="190">
                  <c:v>45117</c:v>
                </c:pt>
                <c:pt idx="191">
                  <c:v>45118</c:v>
                </c:pt>
                <c:pt idx="192">
                  <c:v>45119</c:v>
                </c:pt>
                <c:pt idx="193">
                  <c:v>45120</c:v>
                </c:pt>
                <c:pt idx="194">
                  <c:v>45121</c:v>
                </c:pt>
                <c:pt idx="195">
                  <c:v>45122</c:v>
                </c:pt>
                <c:pt idx="196">
                  <c:v>45123</c:v>
                </c:pt>
                <c:pt idx="197">
                  <c:v>45124</c:v>
                </c:pt>
                <c:pt idx="198">
                  <c:v>45125</c:v>
                </c:pt>
                <c:pt idx="199">
                  <c:v>45126</c:v>
                </c:pt>
                <c:pt idx="200">
                  <c:v>45127</c:v>
                </c:pt>
                <c:pt idx="201">
                  <c:v>45128</c:v>
                </c:pt>
                <c:pt idx="202">
                  <c:v>45129</c:v>
                </c:pt>
                <c:pt idx="203">
                  <c:v>45130</c:v>
                </c:pt>
                <c:pt idx="204">
                  <c:v>45131</c:v>
                </c:pt>
                <c:pt idx="205">
                  <c:v>45132</c:v>
                </c:pt>
                <c:pt idx="206">
                  <c:v>45133</c:v>
                </c:pt>
                <c:pt idx="207">
                  <c:v>45134</c:v>
                </c:pt>
                <c:pt idx="208">
                  <c:v>45135</c:v>
                </c:pt>
                <c:pt idx="209">
                  <c:v>45136</c:v>
                </c:pt>
                <c:pt idx="210">
                  <c:v>45137</c:v>
                </c:pt>
                <c:pt idx="211">
                  <c:v>45138</c:v>
                </c:pt>
                <c:pt idx="212">
                  <c:v>45139</c:v>
                </c:pt>
                <c:pt idx="213">
                  <c:v>45140</c:v>
                </c:pt>
                <c:pt idx="214">
                  <c:v>45141</c:v>
                </c:pt>
                <c:pt idx="215">
                  <c:v>45142</c:v>
                </c:pt>
                <c:pt idx="216">
                  <c:v>45143</c:v>
                </c:pt>
                <c:pt idx="217">
                  <c:v>45144</c:v>
                </c:pt>
                <c:pt idx="218">
                  <c:v>45145</c:v>
                </c:pt>
                <c:pt idx="219">
                  <c:v>45146</c:v>
                </c:pt>
                <c:pt idx="220">
                  <c:v>45147</c:v>
                </c:pt>
                <c:pt idx="221">
                  <c:v>45148</c:v>
                </c:pt>
                <c:pt idx="222">
                  <c:v>45149</c:v>
                </c:pt>
                <c:pt idx="223">
                  <c:v>45150</c:v>
                </c:pt>
                <c:pt idx="224">
                  <c:v>45151</c:v>
                </c:pt>
                <c:pt idx="225">
                  <c:v>45152</c:v>
                </c:pt>
                <c:pt idx="226">
                  <c:v>45153</c:v>
                </c:pt>
                <c:pt idx="227">
                  <c:v>45154</c:v>
                </c:pt>
                <c:pt idx="228">
                  <c:v>45155</c:v>
                </c:pt>
                <c:pt idx="229">
                  <c:v>45156</c:v>
                </c:pt>
                <c:pt idx="230">
                  <c:v>45157</c:v>
                </c:pt>
                <c:pt idx="231">
                  <c:v>45158</c:v>
                </c:pt>
                <c:pt idx="232">
                  <c:v>45159</c:v>
                </c:pt>
                <c:pt idx="233">
                  <c:v>45160</c:v>
                </c:pt>
                <c:pt idx="234">
                  <c:v>45161</c:v>
                </c:pt>
                <c:pt idx="235">
                  <c:v>45162</c:v>
                </c:pt>
                <c:pt idx="236">
                  <c:v>45163</c:v>
                </c:pt>
                <c:pt idx="237">
                  <c:v>45164</c:v>
                </c:pt>
                <c:pt idx="238">
                  <c:v>45165</c:v>
                </c:pt>
                <c:pt idx="239">
                  <c:v>45166</c:v>
                </c:pt>
                <c:pt idx="240">
                  <c:v>45167</c:v>
                </c:pt>
                <c:pt idx="241">
                  <c:v>45168</c:v>
                </c:pt>
                <c:pt idx="242">
                  <c:v>45169</c:v>
                </c:pt>
                <c:pt idx="243">
                  <c:v>45170</c:v>
                </c:pt>
                <c:pt idx="244">
                  <c:v>45171</c:v>
                </c:pt>
                <c:pt idx="245">
                  <c:v>45172</c:v>
                </c:pt>
                <c:pt idx="246">
                  <c:v>45173</c:v>
                </c:pt>
                <c:pt idx="247">
                  <c:v>45174</c:v>
                </c:pt>
                <c:pt idx="248">
                  <c:v>45175</c:v>
                </c:pt>
                <c:pt idx="249">
                  <c:v>45176</c:v>
                </c:pt>
                <c:pt idx="250">
                  <c:v>45177</c:v>
                </c:pt>
                <c:pt idx="251">
                  <c:v>45178</c:v>
                </c:pt>
                <c:pt idx="252">
                  <c:v>45179</c:v>
                </c:pt>
                <c:pt idx="253">
                  <c:v>45180</c:v>
                </c:pt>
                <c:pt idx="254">
                  <c:v>45181</c:v>
                </c:pt>
                <c:pt idx="255">
                  <c:v>45182</c:v>
                </c:pt>
                <c:pt idx="256">
                  <c:v>45183</c:v>
                </c:pt>
                <c:pt idx="257">
                  <c:v>45184</c:v>
                </c:pt>
                <c:pt idx="258">
                  <c:v>45185</c:v>
                </c:pt>
                <c:pt idx="259">
                  <c:v>45186</c:v>
                </c:pt>
                <c:pt idx="260">
                  <c:v>45187</c:v>
                </c:pt>
                <c:pt idx="261">
                  <c:v>45188</c:v>
                </c:pt>
                <c:pt idx="262">
                  <c:v>45189</c:v>
                </c:pt>
                <c:pt idx="263">
                  <c:v>45190</c:v>
                </c:pt>
                <c:pt idx="264">
                  <c:v>45191</c:v>
                </c:pt>
                <c:pt idx="265">
                  <c:v>45192</c:v>
                </c:pt>
                <c:pt idx="266">
                  <c:v>45193</c:v>
                </c:pt>
                <c:pt idx="267">
                  <c:v>45194</c:v>
                </c:pt>
                <c:pt idx="268">
                  <c:v>45195</c:v>
                </c:pt>
                <c:pt idx="269">
                  <c:v>45196</c:v>
                </c:pt>
                <c:pt idx="270">
                  <c:v>45197</c:v>
                </c:pt>
                <c:pt idx="271">
                  <c:v>45198</c:v>
                </c:pt>
                <c:pt idx="272">
                  <c:v>45199</c:v>
                </c:pt>
                <c:pt idx="273">
                  <c:v>45200</c:v>
                </c:pt>
                <c:pt idx="274">
                  <c:v>45201</c:v>
                </c:pt>
                <c:pt idx="275">
                  <c:v>45202</c:v>
                </c:pt>
                <c:pt idx="276">
                  <c:v>45203</c:v>
                </c:pt>
                <c:pt idx="277">
                  <c:v>45204</c:v>
                </c:pt>
                <c:pt idx="278">
                  <c:v>45205</c:v>
                </c:pt>
                <c:pt idx="279">
                  <c:v>45206</c:v>
                </c:pt>
                <c:pt idx="280">
                  <c:v>45207</c:v>
                </c:pt>
                <c:pt idx="281">
                  <c:v>45208</c:v>
                </c:pt>
                <c:pt idx="282">
                  <c:v>45209</c:v>
                </c:pt>
                <c:pt idx="283">
                  <c:v>45210</c:v>
                </c:pt>
                <c:pt idx="284">
                  <c:v>45211</c:v>
                </c:pt>
                <c:pt idx="285">
                  <c:v>45212</c:v>
                </c:pt>
                <c:pt idx="286">
                  <c:v>45213</c:v>
                </c:pt>
                <c:pt idx="287">
                  <c:v>45214</c:v>
                </c:pt>
                <c:pt idx="288">
                  <c:v>45215</c:v>
                </c:pt>
                <c:pt idx="289">
                  <c:v>45216</c:v>
                </c:pt>
                <c:pt idx="290">
                  <c:v>45217</c:v>
                </c:pt>
                <c:pt idx="291">
                  <c:v>45218</c:v>
                </c:pt>
                <c:pt idx="292">
                  <c:v>45219</c:v>
                </c:pt>
                <c:pt idx="293">
                  <c:v>45220</c:v>
                </c:pt>
                <c:pt idx="294">
                  <c:v>45221</c:v>
                </c:pt>
                <c:pt idx="295">
                  <c:v>45222</c:v>
                </c:pt>
                <c:pt idx="296">
                  <c:v>45223</c:v>
                </c:pt>
                <c:pt idx="297">
                  <c:v>45224</c:v>
                </c:pt>
                <c:pt idx="298">
                  <c:v>45225</c:v>
                </c:pt>
                <c:pt idx="299">
                  <c:v>45226</c:v>
                </c:pt>
                <c:pt idx="300">
                  <c:v>45227</c:v>
                </c:pt>
                <c:pt idx="301">
                  <c:v>45228</c:v>
                </c:pt>
                <c:pt idx="302">
                  <c:v>45229</c:v>
                </c:pt>
                <c:pt idx="303">
                  <c:v>45230</c:v>
                </c:pt>
                <c:pt idx="304">
                  <c:v>45231</c:v>
                </c:pt>
                <c:pt idx="305">
                  <c:v>45232</c:v>
                </c:pt>
                <c:pt idx="306">
                  <c:v>45233</c:v>
                </c:pt>
                <c:pt idx="307">
                  <c:v>45234</c:v>
                </c:pt>
                <c:pt idx="308">
                  <c:v>45235</c:v>
                </c:pt>
                <c:pt idx="309">
                  <c:v>45236</c:v>
                </c:pt>
                <c:pt idx="310">
                  <c:v>45237</c:v>
                </c:pt>
                <c:pt idx="311">
                  <c:v>45238</c:v>
                </c:pt>
                <c:pt idx="312">
                  <c:v>45239</c:v>
                </c:pt>
                <c:pt idx="313">
                  <c:v>45240</c:v>
                </c:pt>
                <c:pt idx="314">
                  <c:v>45241</c:v>
                </c:pt>
                <c:pt idx="315">
                  <c:v>45242</c:v>
                </c:pt>
                <c:pt idx="316">
                  <c:v>45243</c:v>
                </c:pt>
                <c:pt idx="317">
                  <c:v>45244</c:v>
                </c:pt>
                <c:pt idx="318">
                  <c:v>45245</c:v>
                </c:pt>
                <c:pt idx="319">
                  <c:v>45246</c:v>
                </c:pt>
                <c:pt idx="320">
                  <c:v>45247</c:v>
                </c:pt>
                <c:pt idx="321">
                  <c:v>45248</c:v>
                </c:pt>
                <c:pt idx="322">
                  <c:v>45249</c:v>
                </c:pt>
                <c:pt idx="323">
                  <c:v>45250</c:v>
                </c:pt>
                <c:pt idx="324">
                  <c:v>45251</c:v>
                </c:pt>
                <c:pt idx="325">
                  <c:v>45252</c:v>
                </c:pt>
                <c:pt idx="326">
                  <c:v>45253</c:v>
                </c:pt>
                <c:pt idx="327">
                  <c:v>45254</c:v>
                </c:pt>
                <c:pt idx="328">
                  <c:v>45255</c:v>
                </c:pt>
                <c:pt idx="329">
                  <c:v>45256</c:v>
                </c:pt>
                <c:pt idx="330">
                  <c:v>45257</c:v>
                </c:pt>
                <c:pt idx="331">
                  <c:v>45258</c:v>
                </c:pt>
                <c:pt idx="332">
                  <c:v>45259</c:v>
                </c:pt>
                <c:pt idx="333">
                  <c:v>45260</c:v>
                </c:pt>
                <c:pt idx="334">
                  <c:v>45261</c:v>
                </c:pt>
                <c:pt idx="335">
                  <c:v>45262</c:v>
                </c:pt>
                <c:pt idx="336">
                  <c:v>45263</c:v>
                </c:pt>
                <c:pt idx="337">
                  <c:v>45264</c:v>
                </c:pt>
                <c:pt idx="338">
                  <c:v>45265</c:v>
                </c:pt>
                <c:pt idx="339">
                  <c:v>45266</c:v>
                </c:pt>
                <c:pt idx="340">
                  <c:v>45267</c:v>
                </c:pt>
                <c:pt idx="341">
                  <c:v>45268</c:v>
                </c:pt>
                <c:pt idx="342">
                  <c:v>45269</c:v>
                </c:pt>
                <c:pt idx="343">
                  <c:v>45270</c:v>
                </c:pt>
                <c:pt idx="344">
                  <c:v>45271</c:v>
                </c:pt>
                <c:pt idx="345">
                  <c:v>45272</c:v>
                </c:pt>
                <c:pt idx="346">
                  <c:v>45273</c:v>
                </c:pt>
                <c:pt idx="347">
                  <c:v>45274</c:v>
                </c:pt>
                <c:pt idx="348">
                  <c:v>45275</c:v>
                </c:pt>
                <c:pt idx="349">
                  <c:v>45276</c:v>
                </c:pt>
                <c:pt idx="350">
                  <c:v>45277</c:v>
                </c:pt>
                <c:pt idx="351">
                  <c:v>45278</c:v>
                </c:pt>
                <c:pt idx="352">
                  <c:v>45279</c:v>
                </c:pt>
                <c:pt idx="353">
                  <c:v>45280</c:v>
                </c:pt>
                <c:pt idx="354">
                  <c:v>45281</c:v>
                </c:pt>
                <c:pt idx="355">
                  <c:v>45282</c:v>
                </c:pt>
                <c:pt idx="356">
                  <c:v>45283</c:v>
                </c:pt>
                <c:pt idx="357">
                  <c:v>45284</c:v>
                </c:pt>
                <c:pt idx="358">
                  <c:v>45285</c:v>
                </c:pt>
                <c:pt idx="359">
                  <c:v>45286</c:v>
                </c:pt>
                <c:pt idx="360">
                  <c:v>45287</c:v>
                </c:pt>
                <c:pt idx="361">
                  <c:v>45288</c:v>
                </c:pt>
                <c:pt idx="362">
                  <c:v>45289</c:v>
                </c:pt>
                <c:pt idx="363">
                  <c:v>45290</c:v>
                </c:pt>
                <c:pt idx="364">
                  <c:v>45291</c:v>
                </c:pt>
                <c:pt idx="365">
                  <c:v>45292</c:v>
                </c:pt>
                <c:pt idx="366">
                  <c:v>45293</c:v>
                </c:pt>
                <c:pt idx="367">
                  <c:v>45294</c:v>
                </c:pt>
                <c:pt idx="368">
                  <c:v>45295</c:v>
                </c:pt>
                <c:pt idx="369">
                  <c:v>45296</c:v>
                </c:pt>
                <c:pt idx="370">
                  <c:v>45297</c:v>
                </c:pt>
                <c:pt idx="371">
                  <c:v>45298</c:v>
                </c:pt>
                <c:pt idx="372">
                  <c:v>45299</c:v>
                </c:pt>
                <c:pt idx="373">
                  <c:v>45300</c:v>
                </c:pt>
                <c:pt idx="374">
                  <c:v>45301</c:v>
                </c:pt>
                <c:pt idx="375">
                  <c:v>45302</c:v>
                </c:pt>
                <c:pt idx="376">
                  <c:v>45303</c:v>
                </c:pt>
                <c:pt idx="377">
                  <c:v>45304</c:v>
                </c:pt>
                <c:pt idx="378">
                  <c:v>45305</c:v>
                </c:pt>
                <c:pt idx="379">
                  <c:v>45306</c:v>
                </c:pt>
                <c:pt idx="380">
                  <c:v>45307</c:v>
                </c:pt>
                <c:pt idx="381">
                  <c:v>45308</c:v>
                </c:pt>
                <c:pt idx="382">
                  <c:v>45309</c:v>
                </c:pt>
                <c:pt idx="383">
                  <c:v>45310</c:v>
                </c:pt>
                <c:pt idx="384">
                  <c:v>45311</c:v>
                </c:pt>
                <c:pt idx="385">
                  <c:v>45312</c:v>
                </c:pt>
                <c:pt idx="386">
                  <c:v>45313</c:v>
                </c:pt>
                <c:pt idx="387">
                  <c:v>45314</c:v>
                </c:pt>
                <c:pt idx="388">
                  <c:v>45315</c:v>
                </c:pt>
                <c:pt idx="389">
                  <c:v>45316</c:v>
                </c:pt>
                <c:pt idx="390">
                  <c:v>45317</c:v>
                </c:pt>
                <c:pt idx="391">
                  <c:v>45318</c:v>
                </c:pt>
                <c:pt idx="392">
                  <c:v>45319</c:v>
                </c:pt>
                <c:pt idx="393">
                  <c:v>45320</c:v>
                </c:pt>
                <c:pt idx="394">
                  <c:v>45321</c:v>
                </c:pt>
                <c:pt idx="395">
                  <c:v>45322</c:v>
                </c:pt>
                <c:pt idx="396">
                  <c:v>45323</c:v>
                </c:pt>
                <c:pt idx="397">
                  <c:v>45324</c:v>
                </c:pt>
                <c:pt idx="398">
                  <c:v>45325</c:v>
                </c:pt>
                <c:pt idx="399">
                  <c:v>45326</c:v>
                </c:pt>
                <c:pt idx="400">
                  <c:v>45327</c:v>
                </c:pt>
                <c:pt idx="401">
                  <c:v>45328</c:v>
                </c:pt>
                <c:pt idx="402">
                  <c:v>45329</c:v>
                </c:pt>
                <c:pt idx="403">
                  <c:v>45330</c:v>
                </c:pt>
                <c:pt idx="404">
                  <c:v>45331</c:v>
                </c:pt>
                <c:pt idx="405">
                  <c:v>45332</c:v>
                </c:pt>
                <c:pt idx="406">
                  <c:v>45333</c:v>
                </c:pt>
                <c:pt idx="407">
                  <c:v>45334</c:v>
                </c:pt>
                <c:pt idx="408">
                  <c:v>45335</c:v>
                </c:pt>
                <c:pt idx="409">
                  <c:v>45336</c:v>
                </c:pt>
                <c:pt idx="410">
                  <c:v>45337</c:v>
                </c:pt>
                <c:pt idx="411">
                  <c:v>45338</c:v>
                </c:pt>
                <c:pt idx="412">
                  <c:v>45339</c:v>
                </c:pt>
                <c:pt idx="413">
                  <c:v>45340</c:v>
                </c:pt>
                <c:pt idx="414">
                  <c:v>45341</c:v>
                </c:pt>
                <c:pt idx="415">
                  <c:v>45342</c:v>
                </c:pt>
                <c:pt idx="416">
                  <c:v>45343</c:v>
                </c:pt>
                <c:pt idx="417">
                  <c:v>45344</c:v>
                </c:pt>
                <c:pt idx="418">
                  <c:v>45345</c:v>
                </c:pt>
                <c:pt idx="419">
                  <c:v>45346</c:v>
                </c:pt>
                <c:pt idx="420">
                  <c:v>45347</c:v>
                </c:pt>
                <c:pt idx="421">
                  <c:v>45348</c:v>
                </c:pt>
                <c:pt idx="422">
                  <c:v>45349</c:v>
                </c:pt>
                <c:pt idx="423">
                  <c:v>45350</c:v>
                </c:pt>
                <c:pt idx="424">
                  <c:v>45351</c:v>
                </c:pt>
                <c:pt idx="425">
                  <c:v>45352</c:v>
                </c:pt>
                <c:pt idx="426">
                  <c:v>45353</c:v>
                </c:pt>
                <c:pt idx="427">
                  <c:v>45354</c:v>
                </c:pt>
                <c:pt idx="428">
                  <c:v>45355</c:v>
                </c:pt>
                <c:pt idx="429">
                  <c:v>45356</c:v>
                </c:pt>
                <c:pt idx="430">
                  <c:v>45357</c:v>
                </c:pt>
                <c:pt idx="431">
                  <c:v>45358</c:v>
                </c:pt>
                <c:pt idx="432">
                  <c:v>45359</c:v>
                </c:pt>
                <c:pt idx="433">
                  <c:v>45360</c:v>
                </c:pt>
                <c:pt idx="434">
                  <c:v>45361</c:v>
                </c:pt>
                <c:pt idx="435">
                  <c:v>45362</c:v>
                </c:pt>
                <c:pt idx="436">
                  <c:v>45363</c:v>
                </c:pt>
                <c:pt idx="437">
                  <c:v>45364</c:v>
                </c:pt>
                <c:pt idx="438">
                  <c:v>45365</c:v>
                </c:pt>
                <c:pt idx="439">
                  <c:v>45366</c:v>
                </c:pt>
                <c:pt idx="440">
                  <c:v>45367</c:v>
                </c:pt>
                <c:pt idx="441">
                  <c:v>45368</c:v>
                </c:pt>
                <c:pt idx="442">
                  <c:v>45369</c:v>
                </c:pt>
                <c:pt idx="443">
                  <c:v>45370</c:v>
                </c:pt>
                <c:pt idx="444">
                  <c:v>45371</c:v>
                </c:pt>
                <c:pt idx="445">
                  <c:v>45372</c:v>
                </c:pt>
                <c:pt idx="446">
                  <c:v>45373</c:v>
                </c:pt>
                <c:pt idx="447">
                  <c:v>45374</c:v>
                </c:pt>
                <c:pt idx="448">
                  <c:v>45375</c:v>
                </c:pt>
                <c:pt idx="449">
                  <c:v>45376</c:v>
                </c:pt>
                <c:pt idx="450">
                  <c:v>45377</c:v>
                </c:pt>
                <c:pt idx="451">
                  <c:v>45378</c:v>
                </c:pt>
                <c:pt idx="452">
                  <c:v>45379</c:v>
                </c:pt>
                <c:pt idx="453">
                  <c:v>45380</c:v>
                </c:pt>
                <c:pt idx="454">
                  <c:v>45381</c:v>
                </c:pt>
                <c:pt idx="455">
                  <c:v>45382</c:v>
                </c:pt>
                <c:pt idx="456">
                  <c:v>45383</c:v>
                </c:pt>
                <c:pt idx="457">
                  <c:v>45384</c:v>
                </c:pt>
                <c:pt idx="458">
                  <c:v>45385</c:v>
                </c:pt>
                <c:pt idx="459">
                  <c:v>45386</c:v>
                </c:pt>
                <c:pt idx="460">
                  <c:v>45387</c:v>
                </c:pt>
                <c:pt idx="461">
                  <c:v>45388</c:v>
                </c:pt>
                <c:pt idx="462">
                  <c:v>45389</c:v>
                </c:pt>
                <c:pt idx="463">
                  <c:v>45390</c:v>
                </c:pt>
                <c:pt idx="464">
                  <c:v>45391</c:v>
                </c:pt>
                <c:pt idx="465">
                  <c:v>45392</c:v>
                </c:pt>
                <c:pt idx="466">
                  <c:v>45393</c:v>
                </c:pt>
                <c:pt idx="467">
                  <c:v>45394</c:v>
                </c:pt>
                <c:pt idx="468">
                  <c:v>45395</c:v>
                </c:pt>
                <c:pt idx="469">
                  <c:v>45396</c:v>
                </c:pt>
                <c:pt idx="470">
                  <c:v>45397</c:v>
                </c:pt>
                <c:pt idx="471">
                  <c:v>45398</c:v>
                </c:pt>
                <c:pt idx="472">
                  <c:v>45399</c:v>
                </c:pt>
                <c:pt idx="473">
                  <c:v>45400</c:v>
                </c:pt>
                <c:pt idx="474">
                  <c:v>45401</c:v>
                </c:pt>
                <c:pt idx="475">
                  <c:v>45402</c:v>
                </c:pt>
                <c:pt idx="476">
                  <c:v>45403</c:v>
                </c:pt>
                <c:pt idx="477">
                  <c:v>45404</c:v>
                </c:pt>
                <c:pt idx="478">
                  <c:v>45405</c:v>
                </c:pt>
                <c:pt idx="479">
                  <c:v>45406</c:v>
                </c:pt>
                <c:pt idx="480">
                  <c:v>45407</c:v>
                </c:pt>
                <c:pt idx="481">
                  <c:v>45408</c:v>
                </c:pt>
                <c:pt idx="482">
                  <c:v>45409</c:v>
                </c:pt>
                <c:pt idx="483">
                  <c:v>45410</c:v>
                </c:pt>
              </c:numCache>
            </c:numRef>
          </c:cat>
          <c:val>
            <c:numRef>
              <c:f>forecast_chart!$C$2:$C$485</c:f>
              <c:numCache>
                <c:formatCode>General</c:formatCode>
                <c:ptCount val="484"/>
                <c:pt idx="386">
                  <c:v>353.464221248873</c:v>
                </c:pt>
                <c:pt idx="387">
                  <c:v>353.46703646105419</c:v>
                </c:pt>
                <c:pt idx="388">
                  <c:v>353.46985167323652</c:v>
                </c:pt>
                <c:pt idx="389">
                  <c:v>353.47266688541771</c:v>
                </c:pt>
                <c:pt idx="390">
                  <c:v>353.47548209759998</c:v>
                </c:pt>
                <c:pt idx="391">
                  <c:v>353.47829730978117</c:v>
                </c:pt>
                <c:pt idx="392">
                  <c:v>353.4811125219635</c:v>
                </c:pt>
                <c:pt idx="393">
                  <c:v>353.48392773414469</c:v>
                </c:pt>
                <c:pt idx="394">
                  <c:v>353.48674294632701</c:v>
                </c:pt>
                <c:pt idx="395">
                  <c:v>353.4895581585082</c:v>
                </c:pt>
                <c:pt idx="396">
                  <c:v>353.49237337069053</c:v>
                </c:pt>
                <c:pt idx="397">
                  <c:v>353.49518858287172</c:v>
                </c:pt>
                <c:pt idx="398">
                  <c:v>353.49800379505399</c:v>
                </c:pt>
                <c:pt idx="399">
                  <c:v>353.50081900723518</c:v>
                </c:pt>
                <c:pt idx="400">
                  <c:v>353.50363421941751</c:v>
                </c:pt>
                <c:pt idx="401">
                  <c:v>353.5064494315987</c:v>
                </c:pt>
                <c:pt idx="402">
                  <c:v>353.50926464378102</c:v>
                </c:pt>
                <c:pt idx="403">
                  <c:v>353.51207985596221</c:v>
                </c:pt>
                <c:pt idx="404">
                  <c:v>353.51489506814454</c:v>
                </c:pt>
                <c:pt idx="405">
                  <c:v>353.51771028032567</c:v>
                </c:pt>
                <c:pt idx="406">
                  <c:v>353.520525492508</c:v>
                </c:pt>
                <c:pt idx="407">
                  <c:v>353.52334070468919</c:v>
                </c:pt>
                <c:pt idx="408">
                  <c:v>353.52615591687152</c:v>
                </c:pt>
                <c:pt idx="409">
                  <c:v>353.52897112905271</c:v>
                </c:pt>
                <c:pt idx="410">
                  <c:v>353.53178634123503</c:v>
                </c:pt>
                <c:pt idx="411">
                  <c:v>353.53460155341622</c:v>
                </c:pt>
                <c:pt idx="412">
                  <c:v>353.53741676559849</c:v>
                </c:pt>
                <c:pt idx="413">
                  <c:v>353.54023197777968</c:v>
                </c:pt>
                <c:pt idx="414">
                  <c:v>353.54304718996201</c:v>
                </c:pt>
                <c:pt idx="415">
                  <c:v>353.5458624021432</c:v>
                </c:pt>
                <c:pt idx="416">
                  <c:v>353.54867761432553</c:v>
                </c:pt>
                <c:pt idx="417">
                  <c:v>353.55149282650672</c:v>
                </c:pt>
                <c:pt idx="418">
                  <c:v>353.55430803868904</c:v>
                </c:pt>
                <c:pt idx="419">
                  <c:v>353.55712325087023</c:v>
                </c:pt>
                <c:pt idx="420">
                  <c:v>353.5599384630525</c:v>
                </c:pt>
                <c:pt idx="421">
                  <c:v>353.56275367523369</c:v>
                </c:pt>
                <c:pt idx="422">
                  <c:v>353.56556888741602</c:v>
                </c:pt>
                <c:pt idx="423">
                  <c:v>353.56838409959721</c:v>
                </c:pt>
                <c:pt idx="424">
                  <c:v>353.57119931177954</c:v>
                </c:pt>
                <c:pt idx="425">
                  <c:v>353.57401452396073</c:v>
                </c:pt>
                <c:pt idx="426">
                  <c:v>353.57682973614305</c:v>
                </c:pt>
                <c:pt idx="427">
                  <c:v>353.57964494832419</c:v>
                </c:pt>
                <c:pt idx="428">
                  <c:v>353.58246016050651</c:v>
                </c:pt>
                <c:pt idx="429">
                  <c:v>353.5852753726877</c:v>
                </c:pt>
                <c:pt idx="430">
                  <c:v>353.58809058487003</c:v>
                </c:pt>
                <c:pt idx="431">
                  <c:v>353.59090579705122</c:v>
                </c:pt>
                <c:pt idx="432">
                  <c:v>353.59372100923355</c:v>
                </c:pt>
                <c:pt idx="433">
                  <c:v>353.59653622141474</c:v>
                </c:pt>
                <c:pt idx="434">
                  <c:v>353.59935143359701</c:v>
                </c:pt>
                <c:pt idx="435">
                  <c:v>353.6021666457782</c:v>
                </c:pt>
                <c:pt idx="436">
                  <c:v>353.60498185796052</c:v>
                </c:pt>
                <c:pt idx="437">
                  <c:v>353.60779707014171</c:v>
                </c:pt>
                <c:pt idx="438">
                  <c:v>353.61061228232404</c:v>
                </c:pt>
                <c:pt idx="439">
                  <c:v>353.61342749450523</c:v>
                </c:pt>
                <c:pt idx="440">
                  <c:v>353.61624270668756</c:v>
                </c:pt>
                <c:pt idx="441">
                  <c:v>353.61905791886875</c:v>
                </c:pt>
                <c:pt idx="442">
                  <c:v>353.62187313105102</c:v>
                </c:pt>
                <c:pt idx="443">
                  <c:v>353.62468834323221</c:v>
                </c:pt>
                <c:pt idx="444">
                  <c:v>353.62750355541453</c:v>
                </c:pt>
                <c:pt idx="445">
                  <c:v>353.63031876759572</c:v>
                </c:pt>
                <c:pt idx="446">
                  <c:v>353.63313397977805</c:v>
                </c:pt>
                <c:pt idx="447">
                  <c:v>353.63594919195924</c:v>
                </c:pt>
                <c:pt idx="448">
                  <c:v>353.63876440414157</c:v>
                </c:pt>
                <c:pt idx="449">
                  <c:v>353.6415796163227</c:v>
                </c:pt>
                <c:pt idx="450">
                  <c:v>353.64439482850503</c:v>
                </c:pt>
                <c:pt idx="451">
                  <c:v>353.64721004068622</c:v>
                </c:pt>
                <c:pt idx="452">
                  <c:v>353.65002525286855</c:v>
                </c:pt>
                <c:pt idx="453">
                  <c:v>353.65284046504974</c:v>
                </c:pt>
                <c:pt idx="454">
                  <c:v>353.65565567723206</c:v>
                </c:pt>
                <c:pt idx="455">
                  <c:v>353.65847088941325</c:v>
                </c:pt>
                <c:pt idx="456">
                  <c:v>353.66128610159558</c:v>
                </c:pt>
                <c:pt idx="457">
                  <c:v>353.66410131377671</c:v>
                </c:pt>
                <c:pt idx="458">
                  <c:v>353.66691652595904</c:v>
                </c:pt>
                <c:pt idx="459">
                  <c:v>353.66973173814023</c:v>
                </c:pt>
                <c:pt idx="460">
                  <c:v>353.67254695032256</c:v>
                </c:pt>
                <c:pt idx="461">
                  <c:v>353.67536216250375</c:v>
                </c:pt>
                <c:pt idx="462">
                  <c:v>353.67817737468607</c:v>
                </c:pt>
                <c:pt idx="463">
                  <c:v>353.68099258686726</c:v>
                </c:pt>
                <c:pt idx="464">
                  <c:v>353.68380779904953</c:v>
                </c:pt>
                <c:pt idx="465">
                  <c:v>353.68662301123072</c:v>
                </c:pt>
                <c:pt idx="466">
                  <c:v>353.68943822341305</c:v>
                </c:pt>
                <c:pt idx="467">
                  <c:v>353.69225343559424</c:v>
                </c:pt>
                <c:pt idx="468">
                  <c:v>353.69506864777657</c:v>
                </c:pt>
                <c:pt idx="469">
                  <c:v>353.69788385995776</c:v>
                </c:pt>
                <c:pt idx="470">
                  <c:v>353.70069907214008</c:v>
                </c:pt>
                <c:pt idx="471">
                  <c:v>353.70351428432122</c:v>
                </c:pt>
                <c:pt idx="472">
                  <c:v>353.70632949650354</c:v>
                </c:pt>
                <c:pt idx="473">
                  <c:v>353.70914470868473</c:v>
                </c:pt>
                <c:pt idx="474">
                  <c:v>353.71195992086706</c:v>
                </c:pt>
                <c:pt idx="475">
                  <c:v>353.71477513304825</c:v>
                </c:pt>
                <c:pt idx="476">
                  <c:v>353.71759034523058</c:v>
                </c:pt>
                <c:pt idx="477">
                  <c:v>353.72040555741177</c:v>
                </c:pt>
                <c:pt idx="478">
                  <c:v>353.72322076959409</c:v>
                </c:pt>
                <c:pt idx="479">
                  <c:v>353.72603598177523</c:v>
                </c:pt>
                <c:pt idx="480">
                  <c:v>353.72885119395755</c:v>
                </c:pt>
                <c:pt idx="481">
                  <c:v>353.73166640613874</c:v>
                </c:pt>
                <c:pt idx="482">
                  <c:v>353.73448161832107</c:v>
                </c:pt>
                <c:pt idx="483">
                  <c:v>353.73729683050226</c:v>
                </c:pt>
              </c:numCache>
            </c:numRef>
          </c:val>
          <c:smooth val="0"/>
          <c:extLst>
            <c:ext xmlns:c16="http://schemas.microsoft.com/office/drawing/2014/chart" uri="{C3380CC4-5D6E-409C-BE32-E72D297353CC}">
              <c16:uniqueId val="{00000001-0FFF-4471-A08A-843D2C8ABA30}"/>
            </c:ext>
          </c:extLst>
        </c:ser>
        <c:ser>
          <c:idx val="2"/>
          <c:order val="2"/>
          <c:tx>
            <c:strRef>
              <c:f>forecast_chart!$D$1</c:f>
              <c:strCache>
                <c:ptCount val="1"/>
                <c:pt idx="0">
                  <c:v>Lower Confidence Bound(Profit)</c:v>
                </c:pt>
              </c:strCache>
            </c:strRef>
          </c:tx>
          <c:spPr>
            <a:ln w="12700" cap="rnd">
              <a:solidFill>
                <a:srgbClr val="ED7D31"/>
              </a:solidFill>
              <a:prstDash val="solid"/>
              <a:round/>
            </a:ln>
            <a:effectLst/>
          </c:spPr>
          <c:marker>
            <c:symbol val="none"/>
          </c:marker>
          <c:cat>
            <c:numRef>
              <c:f>forecast_chart!$A$2:$A$485</c:f>
              <c:numCache>
                <c:formatCode>dd-mm-yyyy</c:formatCode>
                <c:ptCount val="484"/>
                <c:pt idx="0">
                  <c:v>44927</c:v>
                </c:pt>
                <c:pt idx="1">
                  <c:v>44928</c:v>
                </c:pt>
                <c:pt idx="2">
                  <c:v>44929</c:v>
                </c:pt>
                <c:pt idx="3">
                  <c:v>44930</c:v>
                </c:pt>
                <c:pt idx="4">
                  <c:v>44931</c:v>
                </c:pt>
                <c:pt idx="5">
                  <c:v>44932</c:v>
                </c:pt>
                <c:pt idx="6">
                  <c:v>44933</c:v>
                </c:pt>
                <c:pt idx="7">
                  <c:v>44934</c:v>
                </c:pt>
                <c:pt idx="8">
                  <c:v>44935</c:v>
                </c:pt>
                <c:pt idx="9">
                  <c:v>44936</c:v>
                </c:pt>
                <c:pt idx="10">
                  <c:v>44937</c:v>
                </c:pt>
                <c:pt idx="11">
                  <c:v>44938</c:v>
                </c:pt>
                <c:pt idx="12">
                  <c:v>44939</c:v>
                </c:pt>
                <c:pt idx="13">
                  <c:v>44940</c:v>
                </c:pt>
                <c:pt idx="14">
                  <c:v>44941</c:v>
                </c:pt>
                <c:pt idx="15">
                  <c:v>44942</c:v>
                </c:pt>
                <c:pt idx="16">
                  <c:v>44943</c:v>
                </c:pt>
                <c:pt idx="17">
                  <c:v>44944</c:v>
                </c:pt>
                <c:pt idx="18">
                  <c:v>44945</c:v>
                </c:pt>
                <c:pt idx="19">
                  <c:v>44946</c:v>
                </c:pt>
                <c:pt idx="20">
                  <c:v>44947</c:v>
                </c:pt>
                <c:pt idx="21">
                  <c:v>44948</c:v>
                </c:pt>
                <c:pt idx="22">
                  <c:v>44949</c:v>
                </c:pt>
                <c:pt idx="23">
                  <c:v>44950</c:v>
                </c:pt>
                <c:pt idx="24">
                  <c:v>44951</c:v>
                </c:pt>
                <c:pt idx="25">
                  <c:v>44952</c:v>
                </c:pt>
                <c:pt idx="26">
                  <c:v>44953</c:v>
                </c:pt>
                <c:pt idx="27">
                  <c:v>44954</c:v>
                </c:pt>
                <c:pt idx="28">
                  <c:v>44955</c:v>
                </c:pt>
                <c:pt idx="29">
                  <c:v>44956</c:v>
                </c:pt>
                <c:pt idx="30">
                  <c:v>44957</c:v>
                </c:pt>
                <c:pt idx="31">
                  <c:v>44958</c:v>
                </c:pt>
                <c:pt idx="32">
                  <c:v>44959</c:v>
                </c:pt>
                <c:pt idx="33">
                  <c:v>44960</c:v>
                </c:pt>
                <c:pt idx="34">
                  <c:v>44961</c:v>
                </c:pt>
                <c:pt idx="35">
                  <c:v>44962</c:v>
                </c:pt>
                <c:pt idx="36">
                  <c:v>44963</c:v>
                </c:pt>
                <c:pt idx="37">
                  <c:v>44964</c:v>
                </c:pt>
                <c:pt idx="38">
                  <c:v>44965</c:v>
                </c:pt>
                <c:pt idx="39">
                  <c:v>44966</c:v>
                </c:pt>
                <c:pt idx="40">
                  <c:v>44967</c:v>
                </c:pt>
                <c:pt idx="41">
                  <c:v>44968</c:v>
                </c:pt>
                <c:pt idx="42">
                  <c:v>44969</c:v>
                </c:pt>
                <c:pt idx="43">
                  <c:v>44970</c:v>
                </c:pt>
                <c:pt idx="44">
                  <c:v>44971</c:v>
                </c:pt>
                <c:pt idx="45">
                  <c:v>44972</c:v>
                </c:pt>
                <c:pt idx="46">
                  <c:v>44973</c:v>
                </c:pt>
                <c:pt idx="47">
                  <c:v>44974</c:v>
                </c:pt>
                <c:pt idx="48">
                  <c:v>44975</c:v>
                </c:pt>
                <c:pt idx="49">
                  <c:v>44976</c:v>
                </c:pt>
                <c:pt idx="50">
                  <c:v>44977</c:v>
                </c:pt>
                <c:pt idx="51">
                  <c:v>44978</c:v>
                </c:pt>
                <c:pt idx="52">
                  <c:v>44979</c:v>
                </c:pt>
                <c:pt idx="53">
                  <c:v>44980</c:v>
                </c:pt>
                <c:pt idx="54">
                  <c:v>44981</c:v>
                </c:pt>
                <c:pt idx="55">
                  <c:v>44982</c:v>
                </c:pt>
                <c:pt idx="56">
                  <c:v>44983</c:v>
                </c:pt>
                <c:pt idx="57">
                  <c:v>44984</c:v>
                </c:pt>
                <c:pt idx="58">
                  <c:v>44985</c:v>
                </c:pt>
                <c:pt idx="59">
                  <c:v>44986</c:v>
                </c:pt>
                <c:pt idx="60">
                  <c:v>44987</c:v>
                </c:pt>
                <c:pt idx="61">
                  <c:v>44988</c:v>
                </c:pt>
                <c:pt idx="62">
                  <c:v>44989</c:v>
                </c:pt>
                <c:pt idx="63">
                  <c:v>44990</c:v>
                </c:pt>
                <c:pt idx="64">
                  <c:v>44991</c:v>
                </c:pt>
                <c:pt idx="65">
                  <c:v>44992</c:v>
                </c:pt>
                <c:pt idx="66">
                  <c:v>44993</c:v>
                </c:pt>
                <c:pt idx="67">
                  <c:v>44994</c:v>
                </c:pt>
                <c:pt idx="68">
                  <c:v>44995</c:v>
                </c:pt>
                <c:pt idx="69">
                  <c:v>44996</c:v>
                </c:pt>
                <c:pt idx="70">
                  <c:v>44997</c:v>
                </c:pt>
                <c:pt idx="71">
                  <c:v>44998</c:v>
                </c:pt>
                <c:pt idx="72">
                  <c:v>44999</c:v>
                </c:pt>
                <c:pt idx="73">
                  <c:v>45000</c:v>
                </c:pt>
                <c:pt idx="74">
                  <c:v>45001</c:v>
                </c:pt>
                <c:pt idx="75">
                  <c:v>45002</c:v>
                </c:pt>
                <c:pt idx="76">
                  <c:v>45003</c:v>
                </c:pt>
                <c:pt idx="77">
                  <c:v>45004</c:v>
                </c:pt>
                <c:pt idx="78">
                  <c:v>45005</c:v>
                </c:pt>
                <c:pt idx="79">
                  <c:v>45006</c:v>
                </c:pt>
                <c:pt idx="80">
                  <c:v>45007</c:v>
                </c:pt>
                <c:pt idx="81">
                  <c:v>45008</c:v>
                </c:pt>
                <c:pt idx="82">
                  <c:v>45009</c:v>
                </c:pt>
                <c:pt idx="83">
                  <c:v>45010</c:v>
                </c:pt>
                <c:pt idx="84">
                  <c:v>45011</c:v>
                </c:pt>
                <c:pt idx="85">
                  <c:v>45012</c:v>
                </c:pt>
                <c:pt idx="86">
                  <c:v>45013</c:v>
                </c:pt>
                <c:pt idx="87">
                  <c:v>45014</c:v>
                </c:pt>
                <c:pt idx="88">
                  <c:v>45015</c:v>
                </c:pt>
                <c:pt idx="89">
                  <c:v>45016</c:v>
                </c:pt>
                <c:pt idx="90">
                  <c:v>45017</c:v>
                </c:pt>
                <c:pt idx="91">
                  <c:v>45018</c:v>
                </c:pt>
                <c:pt idx="92">
                  <c:v>45019</c:v>
                </c:pt>
                <c:pt idx="93">
                  <c:v>45020</c:v>
                </c:pt>
                <c:pt idx="94">
                  <c:v>45021</c:v>
                </c:pt>
                <c:pt idx="95">
                  <c:v>45022</c:v>
                </c:pt>
                <c:pt idx="96">
                  <c:v>45023</c:v>
                </c:pt>
                <c:pt idx="97">
                  <c:v>45024</c:v>
                </c:pt>
                <c:pt idx="98">
                  <c:v>45025</c:v>
                </c:pt>
                <c:pt idx="99">
                  <c:v>45026</c:v>
                </c:pt>
                <c:pt idx="100">
                  <c:v>45027</c:v>
                </c:pt>
                <c:pt idx="101">
                  <c:v>45028</c:v>
                </c:pt>
                <c:pt idx="102">
                  <c:v>45029</c:v>
                </c:pt>
                <c:pt idx="103">
                  <c:v>45030</c:v>
                </c:pt>
                <c:pt idx="104">
                  <c:v>45031</c:v>
                </c:pt>
                <c:pt idx="105">
                  <c:v>45032</c:v>
                </c:pt>
                <c:pt idx="106">
                  <c:v>45033</c:v>
                </c:pt>
                <c:pt idx="107">
                  <c:v>45034</c:v>
                </c:pt>
                <c:pt idx="108">
                  <c:v>45035</c:v>
                </c:pt>
                <c:pt idx="109">
                  <c:v>45036</c:v>
                </c:pt>
                <c:pt idx="110">
                  <c:v>45037</c:v>
                </c:pt>
                <c:pt idx="111">
                  <c:v>45038</c:v>
                </c:pt>
                <c:pt idx="112">
                  <c:v>45039</c:v>
                </c:pt>
                <c:pt idx="113">
                  <c:v>45040</c:v>
                </c:pt>
                <c:pt idx="114">
                  <c:v>45041</c:v>
                </c:pt>
                <c:pt idx="115">
                  <c:v>45042</c:v>
                </c:pt>
                <c:pt idx="116">
                  <c:v>45043</c:v>
                </c:pt>
                <c:pt idx="117">
                  <c:v>45044</c:v>
                </c:pt>
                <c:pt idx="118">
                  <c:v>45045</c:v>
                </c:pt>
                <c:pt idx="119">
                  <c:v>45046</c:v>
                </c:pt>
                <c:pt idx="120">
                  <c:v>45047</c:v>
                </c:pt>
                <c:pt idx="121">
                  <c:v>45048</c:v>
                </c:pt>
                <c:pt idx="122">
                  <c:v>45049</c:v>
                </c:pt>
                <c:pt idx="123">
                  <c:v>45050</c:v>
                </c:pt>
                <c:pt idx="124">
                  <c:v>45051</c:v>
                </c:pt>
                <c:pt idx="125">
                  <c:v>45052</c:v>
                </c:pt>
                <c:pt idx="126">
                  <c:v>45053</c:v>
                </c:pt>
                <c:pt idx="127">
                  <c:v>45054</c:v>
                </c:pt>
                <c:pt idx="128">
                  <c:v>45055</c:v>
                </c:pt>
                <c:pt idx="129">
                  <c:v>45056</c:v>
                </c:pt>
                <c:pt idx="130">
                  <c:v>45057</c:v>
                </c:pt>
                <c:pt idx="131">
                  <c:v>45058</c:v>
                </c:pt>
                <c:pt idx="132">
                  <c:v>45059</c:v>
                </c:pt>
                <c:pt idx="133">
                  <c:v>45060</c:v>
                </c:pt>
                <c:pt idx="134">
                  <c:v>45061</c:v>
                </c:pt>
                <c:pt idx="135">
                  <c:v>45062</c:v>
                </c:pt>
                <c:pt idx="136">
                  <c:v>45063</c:v>
                </c:pt>
                <c:pt idx="137">
                  <c:v>45064</c:v>
                </c:pt>
                <c:pt idx="138">
                  <c:v>45065</c:v>
                </c:pt>
                <c:pt idx="139">
                  <c:v>45066</c:v>
                </c:pt>
                <c:pt idx="140">
                  <c:v>45067</c:v>
                </c:pt>
                <c:pt idx="141">
                  <c:v>45068</c:v>
                </c:pt>
                <c:pt idx="142">
                  <c:v>45069</c:v>
                </c:pt>
                <c:pt idx="143">
                  <c:v>45070</c:v>
                </c:pt>
                <c:pt idx="144">
                  <c:v>45071</c:v>
                </c:pt>
                <c:pt idx="145">
                  <c:v>45072</c:v>
                </c:pt>
                <c:pt idx="146">
                  <c:v>45073</c:v>
                </c:pt>
                <c:pt idx="147">
                  <c:v>45074</c:v>
                </c:pt>
                <c:pt idx="148">
                  <c:v>45075</c:v>
                </c:pt>
                <c:pt idx="149">
                  <c:v>45076</c:v>
                </c:pt>
                <c:pt idx="150">
                  <c:v>45077</c:v>
                </c:pt>
                <c:pt idx="151">
                  <c:v>45078</c:v>
                </c:pt>
                <c:pt idx="152">
                  <c:v>45079</c:v>
                </c:pt>
                <c:pt idx="153">
                  <c:v>45080</c:v>
                </c:pt>
                <c:pt idx="154">
                  <c:v>45081</c:v>
                </c:pt>
                <c:pt idx="155">
                  <c:v>45082</c:v>
                </c:pt>
                <c:pt idx="156">
                  <c:v>45083</c:v>
                </c:pt>
                <c:pt idx="157">
                  <c:v>45084</c:v>
                </c:pt>
                <c:pt idx="158">
                  <c:v>45085</c:v>
                </c:pt>
                <c:pt idx="159">
                  <c:v>45086</c:v>
                </c:pt>
                <c:pt idx="160">
                  <c:v>45087</c:v>
                </c:pt>
                <c:pt idx="161">
                  <c:v>45088</c:v>
                </c:pt>
                <c:pt idx="162">
                  <c:v>45089</c:v>
                </c:pt>
                <c:pt idx="163">
                  <c:v>45090</c:v>
                </c:pt>
                <c:pt idx="164">
                  <c:v>45091</c:v>
                </c:pt>
                <c:pt idx="165">
                  <c:v>45092</c:v>
                </c:pt>
                <c:pt idx="166">
                  <c:v>45093</c:v>
                </c:pt>
                <c:pt idx="167">
                  <c:v>45094</c:v>
                </c:pt>
                <c:pt idx="168">
                  <c:v>45095</c:v>
                </c:pt>
                <c:pt idx="169">
                  <c:v>45096</c:v>
                </c:pt>
                <c:pt idx="170">
                  <c:v>45097</c:v>
                </c:pt>
                <c:pt idx="171">
                  <c:v>45098</c:v>
                </c:pt>
                <c:pt idx="172">
                  <c:v>45099</c:v>
                </c:pt>
                <c:pt idx="173">
                  <c:v>45100</c:v>
                </c:pt>
                <c:pt idx="174">
                  <c:v>45101</c:v>
                </c:pt>
                <c:pt idx="175">
                  <c:v>45102</c:v>
                </c:pt>
                <c:pt idx="176">
                  <c:v>45103</c:v>
                </c:pt>
                <c:pt idx="177">
                  <c:v>45104</c:v>
                </c:pt>
                <c:pt idx="178">
                  <c:v>45105</c:v>
                </c:pt>
                <c:pt idx="179">
                  <c:v>45106</c:v>
                </c:pt>
                <c:pt idx="180">
                  <c:v>45107</c:v>
                </c:pt>
                <c:pt idx="181">
                  <c:v>45108</c:v>
                </c:pt>
                <c:pt idx="182">
                  <c:v>45109</c:v>
                </c:pt>
                <c:pt idx="183">
                  <c:v>45110</c:v>
                </c:pt>
                <c:pt idx="184">
                  <c:v>45111</c:v>
                </c:pt>
                <c:pt idx="185">
                  <c:v>45112</c:v>
                </c:pt>
                <c:pt idx="186">
                  <c:v>45113</c:v>
                </c:pt>
                <c:pt idx="187">
                  <c:v>45114</c:v>
                </c:pt>
                <c:pt idx="188">
                  <c:v>45115</c:v>
                </c:pt>
                <c:pt idx="189">
                  <c:v>45116</c:v>
                </c:pt>
                <c:pt idx="190">
                  <c:v>45117</c:v>
                </c:pt>
                <c:pt idx="191">
                  <c:v>45118</c:v>
                </c:pt>
                <c:pt idx="192">
                  <c:v>45119</c:v>
                </c:pt>
                <c:pt idx="193">
                  <c:v>45120</c:v>
                </c:pt>
                <c:pt idx="194">
                  <c:v>45121</c:v>
                </c:pt>
                <c:pt idx="195">
                  <c:v>45122</c:v>
                </c:pt>
                <c:pt idx="196">
                  <c:v>45123</c:v>
                </c:pt>
                <c:pt idx="197">
                  <c:v>45124</c:v>
                </c:pt>
                <c:pt idx="198">
                  <c:v>45125</c:v>
                </c:pt>
                <c:pt idx="199">
                  <c:v>45126</c:v>
                </c:pt>
                <c:pt idx="200">
                  <c:v>45127</c:v>
                </c:pt>
                <c:pt idx="201">
                  <c:v>45128</c:v>
                </c:pt>
                <c:pt idx="202">
                  <c:v>45129</c:v>
                </c:pt>
                <c:pt idx="203">
                  <c:v>45130</c:v>
                </c:pt>
                <c:pt idx="204">
                  <c:v>45131</c:v>
                </c:pt>
                <c:pt idx="205">
                  <c:v>45132</c:v>
                </c:pt>
                <c:pt idx="206">
                  <c:v>45133</c:v>
                </c:pt>
                <c:pt idx="207">
                  <c:v>45134</c:v>
                </c:pt>
                <c:pt idx="208">
                  <c:v>45135</c:v>
                </c:pt>
                <c:pt idx="209">
                  <c:v>45136</c:v>
                </c:pt>
                <c:pt idx="210">
                  <c:v>45137</c:v>
                </c:pt>
                <c:pt idx="211">
                  <c:v>45138</c:v>
                </c:pt>
                <c:pt idx="212">
                  <c:v>45139</c:v>
                </c:pt>
                <c:pt idx="213">
                  <c:v>45140</c:v>
                </c:pt>
                <c:pt idx="214">
                  <c:v>45141</c:v>
                </c:pt>
                <c:pt idx="215">
                  <c:v>45142</c:v>
                </c:pt>
                <c:pt idx="216">
                  <c:v>45143</c:v>
                </c:pt>
                <c:pt idx="217">
                  <c:v>45144</c:v>
                </c:pt>
                <c:pt idx="218">
                  <c:v>45145</c:v>
                </c:pt>
                <c:pt idx="219">
                  <c:v>45146</c:v>
                </c:pt>
                <c:pt idx="220">
                  <c:v>45147</c:v>
                </c:pt>
                <c:pt idx="221">
                  <c:v>45148</c:v>
                </c:pt>
                <c:pt idx="222">
                  <c:v>45149</c:v>
                </c:pt>
                <c:pt idx="223">
                  <c:v>45150</c:v>
                </c:pt>
                <c:pt idx="224">
                  <c:v>45151</c:v>
                </c:pt>
                <c:pt idx="225">
                  <c:v>45152</c:v>
                </c:pt>
                <c:pt idx="226">
                  <c:v>45153</c:v>
                </c:pt>
                <c:pt idx="227">
                  <c:v>45154</c:v>
                </c:pt>
                <c:pt idx="228">
                  <c:v>45155</c:v>
                </c:pt>
                <c:pt idx="229">
                  <c:v>45156</c:v>
                </c:pt>
                <c:pt idx="230">
                  <c:v>45157</c:v>
                </c:pt>
                <c:pt idx="231">
                  <c:v>45158</c:v>
                </c:pt>
                <c:pt idx="232">
                  <c:v>45159</c:v>
                </c:pt>
                <c:pt idx="233">
                  <c:v>45160</c:v>
                </c:pt>
                <c:pt idx="234">
                  <c:v>45161</c:v>
                </c:pt>
                <c:pt idx="235">
                  <c:v>45162</c:v>
                </c:pt>
                <c:pt idx="236">
                  <c:v>45163</c:v>
                </c:pt>
                <c:pt idx="237">
                  <c:v>45164</c:v>
                </c:pt>
                <c:pt idx="238">
                  <c:v>45165</c:v>
                </c:pt>
                <c:pt idx="239">
                  <c:v>45166</c:v>
                </c:pt>
                <c:pt idx="240">
                  <c:v>45167</c:v>
                </c:pt>
                <c:pt idx="241">
                  <c:v>45168</c:v>
                </c:pt>
                <c:pt idx="242">
                  <c:v>45169</c:v>
                </c:pt>
                <c:pt idx="243">
                  <c:v>45170</c:v>
                </c:pt>
                <c:pt idx="244">
                  <c:v>45171</c:v>
                </c:pt>
                <c:pt idx="245">
                  <c:v>45172</c:v>
                </c:pt>
                <c:pt idx="246">
                  <c:v>45173</c:v>
                </c:pt>
                <c:pt idx="247">
                  <c:v>45174</c:v>
                </c:pt>
                <c:pt idx="248">
                  <c:v>45175</c:v>
                </c:pt>
                <c:pt idx="249">
                  <c:v>45176</c:v>
                </c:pt>
                <c:pt idx="250">
                  <c:v>45177</c:v>
                </c:pt>
                <c:pt idx="251">
                  <c:v>45178</c:v>
                </c:pt>
                <c:pt idx="252">
                  <c:v>45179</c:v>
                </c:pt>
                <c:pt idx="253">
                  <c:v>45180</c:v>
                </c:pt>
                <c:pt idx="254">
                  <c:v>45181</c:v>
                </c:pt>
                <c:pt idx="255">
                  <c:v>45182</c:v>
                </c:pt>
                <c:pt idx="256">
                  <c:v>45183</c:v>
                </c:pt>
                <c:pt idx="257">
                  <c:v>45184</c:v>
                </c:pt>
                <c:pt idx="258">
                  <c:v>45185</c:v>
                </c:pt>
                <c:pt idx="259">
                  <c:v>45186</c:v>
                </c:pt>
                <c:pt idx="260">
                  <c:v>45187</c:v>
                </c:pt>
                <c:pt idx="261">
                  <c:v>45188</c:v>
                </c:pt>
                <c:pt idx="262">
                  <c:v>45189</c:v>
                </c:pt>
                <c:pt idx="263">
                  <c:v>45190</c:v>
                </c:pt>
                <c:pt idx="264">
                  <c:v>45191</c:v>
                </c:pt>
                <c:pt idx="265">
                  <c:v>45192</c:v>
                </c:pt>
                <c:pt idx="266">
                  <c:v>45193</c:v>
                </c:pt>
                <c:pt idx="267">
                  <c:v>45194</c:v>
                </c:pt>
                <c:pt idx="268">
                  <c:v>45195</c:v>
                </c:pt>
                <c:pt idx="269">
                  <c:v>45196</c:v>
                </c:pt>
                <c:pt idx="270">
                  <c:v>45197</c:v>
                </c:pt>
                <c:pt idx="271">
                  <c:v>45198</c:v>
                </c:pt>
                <c:pt idx="272">
                  <c:v>45199</c:v>
                </c:pt>
                <c:pt idx="273">
                  <c:v>45200</c:v>
                </c:pt>
                <c:pt idx="274">
                  <c:v>45201</c:v>
                </c:pt>
                <c:pt idx="275">
                  <c:v>45202</c:v>
                </c:pt>
                <c:pt idx="276">
                  <c:v>45203</c:v>
                </c:pt>
                <c:pt idx="277">
                  <c:v>45204</c:v>
                </c:pt>
                <c:pt idx="278">
                  <c:v>45205</c:v>
                </c:pt>
                <c:pt idx="279">
                  <c:v>45206</c:v>
                </c:pt>
                <c:pt idx="280">
                  <c:v>45207</c:v>
                </c:pt>
                <c:pt idx="281">
                  <c:v>45208</c:v>
                </c:pt>
                <c:pt idx="282">
                  <c:v>45209</c:v>
                </c:pt>
                <c:pt idx="283">
                  <c:v>45210</c:v>
                </c:pt>
                <c:pt idx="284">
                  <c:v>45211</c:v>
                </c:pt>
                <c:pt idx="285">
                  <c:v>45212</c:v>
                </c:pt>
                <c:pt idx="286">
                  <c:v>45213</c:v>
                </c:pt>
                <c:pt idx="287">
                  <c:v>45214</c:v>
                </c:pt>
                <c:pt idx="288">
                  <c:v>45215</c:v>
                </c:pt>
                <c:pt idx="289">
                  <c:v>45216</c:v>
                </c:pt>
                <c:pt idx="290">
                  <c:v>45217</c:v>
                </c:pt>
                <c:pt idx="291">
                  <c:v>45218</c:v>
                </c:pt>
                <c:pt idx="292">
                  <c:v>45219</c:v>
                </c:pt>
                <c:pt idx="293">
                  <c:v>45220</c:v>
                </c:pt>
                <c:pt idx="294">
                  <c:v>45221</c:v>
                </c:pt>
                <c:pt idx="295">
                  <c:v>45222</c:v>
                </c:pt>
                <c:pt idx="296">
                  <c:v>45223</c:v>
                </c:pt>
                <c:pt idx="297">
                  <c:v>45224</c:v>
                </c:pt>
                <c:pt idx="298">
                  <c:v>45225</c:v>
                </c:pt>
                <c:pt idx="299">
                  <c:v>45226</c:v>
                </c:pt>
                <c:pt idx="300">
                  <c:v>45227</c:v>
                </c:pt>
                <c:pt idx="301">
                  <c:v>45228</c:v>
                </c:pt>
                <c:pt idx="302">
                  <c:v>45229</c:v>
                </c:pt>
                <c:pt idx="303">
                  <c:v>45230</c:v>
                </c:pt>
                <c:pt idx="304">
                  <c:v>45231</c:v>
                </c:pt>
                <c:pt idx="305">
                  <c:v>45232</c:v>
                </c:pt>
                <c:pt idx="306">
                  <c:v>45233</c:v>
                </c:pt>
                <c:pt idx="307">
                  <c:v>45234</c:v>
                </c:pt>
                <c:pt idx="308">
                  <c:v>45235</c:v>
                </c:pt>
                <c:pt idx="309">
                  <c:v>45236</c:v>
                </c:pt>
                <c:pt idx="310">
                  <c:v>45237</c:v>
                </c:pt>
                <c:pt idx="311">
                  <c:v>45238</c:v>
                </c:pt>
                <c:pt idx="312">
                  <c:v>45239</c:v>
                </c:pt>
                <c:pt idx="313">
                  <c:v>45240</c:v>
                </c:pt>
                <c:pt idx="314">
                  <c:v>45241</c:v>
                </c:pt>
                <c:pt idx="315">
                  <c:v>45242</c:v>
                </c:pt>
                <c:pt idx="316">
                  <c:v>45243</c:v>
                </c:pt>
                <c:pt idx="317">
                  <c:v>45244</c:v>
                </c:pt>
                <c:pt idx="318">
                  <c:v>45245</c:v>
                </c:pt>
                <c:pt idx="319">
                  <c:v>45246</c:v>
                </c:pt>
                <c:pt idx="320">
                  <c:v>45247</c:v>
                </c:pt>
                <c:pt idx="321">
                  <c:v>45248</c:v>
                </c:pt>
                <c:pt idx="322">
                  <c:v>45249</c:v>
                </c:pt>
                <c:pt idx="323">
                  <c:v>45250</c:v>
                </c:pt>
                <c:pt idx="324">
                  <c:v>45251</c:v>
                </c:pt>
                <c:pt idx="325">
                  <c:v>45252</c:v>
                </c:pt>
                <c:pt idx="326">
                  <c:v>45253</c:v>
                </c:pt>
                <c:pt idx="327">
                  <c:v>45254</c:v>
                </c:pt>
                <c:pt idx="328">
                  <c:v>45255</c:v>
                </c:pt>
                <c:pt idx="329">
                  <c:v>45256</c:v>
                </c:pt>
                <c:pt idx="330">
                  <c:v>45257</c:v>
                </c:pt>
                <c:pt idx="331">
                  <c:v>45258</c:v>
                </c:pt>
                <c:pt idx="332">
                  <c:v>45259</c:v>
                </c:pt>
                <c:pt idx="333">
                  <c:v>45260</c:v>
                </c:pt>
                <c:pt idx="334">
                  <c:v>45261</c:v>
                </c:pt>
                <c:pt idx="335">
                  <c:v>45262</c:v>
                </c:pt>
                <c:pt idx="336">
                  <c:v>45263</c:v>
                </c:pt>
                <c:pt idx="337">
                  <c:v>45264</c:v>
                </c:pt>
                <c:pt idx="338">
                  <c:v>45265</c:v>
                </c:pt>
                <c:pt idx="339">
                  <c:v>45266</c:v>
                </c:pt>
                <c:pt idx="340">
                  <c:v>45267</c:v>
                </c:pt>
                <c:pt idx="341">
                  <c:v>45268</c:v>
                </c:pt>
                <c:pt idx="342">
                  <c:v>45269</c:v>
                </c:pt>
                <c:pt idx="343">
                  <c:v>45270</c:v>
                </c:pt>
                <c:pt idx="344">
                  <c:v>45271</c:v>
                </c:pt>
                <c:pt idx="345">
                  <c:v>45272</c:v>
                </c:pt>
                <c:pt idx="346">
                  <c:v>45273</c:v>
                </c:pt>
                <c:pt idx="347">
                  <c:v>45274</c:v>
                </c:pt>
                <c:pt idx="348">
                  <c:v>45275</c:v>
                </c:pt>
                <c:pt idx="349">
                  <c:v>45276</c:v>
                </c:pt>
                <c:pt idx="350">
                  <c:v>45277</c:v>
                </c:pt>
                <c:pt idx="351">
                  <c:v>45278</c:v>
                </c:pt>
                <c:pt idx="352">
                  <c:v>45279</c:v>
                </c:pt>
                <c:pt idx="353">
                  <c:v>45280</c:v>
                </c:pt>
                <c:pt idx="354">
                  <c:v>45281</c:v>
                </c:pt>
                <c:pt idx="355">
                  <c:v>45282</c:v>
                </c:pt>
                <c:pt idx="356">
                  <c:v>45283</c:v>
                </c:pt>
                <c:pt idx="357">
                  <c:v>45284</c:v>
                </c:pt>
                <c:pt idx="358">
                  <c:v>45285</c:v>
                </c:pt>
                <c:pt idx="359">
                  <c:v>45286</c:v>
                </c:pt>
                <c:pt idx="360">
                  <c:v>45287</c:v>
                </c:pt>
                <c:pt idx="361">
                  <c:v>45288</c:v>
                </c:pt>
                <c:pt idx="362">
                  <c:v>45289</c:v>
                </c:pt>
                <c:pt idx="363">
                  <c:v>45290</c:v>
                </c:pt>
                <c:pt idx="364">
                  <c:v>45291</c:v>
                </c:pt>
                <c:pt idx="365">
                  <c:v>45292</c:v>
                </c:pt>
                <c:pt idx="366">
                  <c:v>45293</c:v>
                </c:pt>
                <c:pt idx="367">
                  <c:v>45294</c:v>
                </c:pt>
                <c:pt idx="368">
                  <c:v>45295</c:v>
                </c:pt>
                <c:pt idx="369">
                  <c:v>45296</c:v>
                </c:pt>
                <c:pt idx="370">
                  <c:v>45297</c:v>
                </c:pt>
                <c:pt idx="371">
                  <c:v>45298</c:v>
                </c:pt>
                <c:pt idx="372">
                  <c:v>45299</c:v>
                </c:pt>
                <c:pt idx="373">
                  <c:v>45300</c:v>
                </c:pt>
                <c:pt idx="374">
                  <c:v>45301</c:v>
                </c:pt>
                <c:pt idx="375">
                  <c:v>45302</c:v>
                </c:pt>
                <c:pt idx="376">
                  <c:v>45303</c:v>
                </c:pt>
                <c:pt idx="377">
                  <c:v>45304</c:v>
                </c:pt>
                <c:pt idx="378">
                  <c:v>45305</c:v>
                </c:pt>
                <c:pt idx="379">
                  <c:v>45306</c:v>
                </c:pt>
                <c:pt idx="380">
                  <c:v>45307</c:v>
                </c:pt>
                <c:pt idx="381">
                  <c:v>45308</c:v>
                </c:pt>
                <c:pt idx="382">
                  <c:v>45309</c:v>
                </c:pt>
                <c:pt idx="383">
                  <c:v>45310</c:v>
                </c:pt>
                <c:pt idx="384">
                  <c:v>45311</c:v>
                </c:pt>
                <c:pt idx="385">
                  <c:v>45312</c:v>
                </c:pt>
                <c:pt idx="386">
                  <c:v>45313</c:v>
                </c:pt>
                <c:pt idx="387">
                  <c:v>45314</c:v>
                </c:pt>
                <c:pt idx="388">
                  <c:v>45315</c:v>
                </c:pt>
                <c:pt idx="389">
                  <c:v>45316</c:v>
                </c:pt>
                <c:pt idx="390">
                  <c:v>45317</c:v>
                </c:pt>
                <c:pt idx="391">
                  <c:v>45318</c:v>
                </c:pt>
                <c:pt idx="392">
                  <c:v>45319</c:v>
                </c:pt>
                <c:pt idx="393">
                  <c:v>45320</c:v>
                </c:pt>
                <c:pt idx="394">
                  <c:v>45321</c:v>
                </c:pt>
                <c:pt idx="395">
                  <c:v>45322</c:v>
                </c:pt>
                <c:pt idx="396">
                  <c:v>45323</c:v>
                </c:pt>
                <c:pt idx="397">
                  <c:v>45324</c:v>
                </c:pt>
                <c:pt idx="398">
                  <c:v>45325</c:v>
                </c:pt>
                <c:pt idx="399">
                  <c:v>45326</c:v>
                </c:pt>
                <c:pt idx="400">
                  <c:v>45327</c:v>
                </c:pt>
                <c:pt idx="401">
                  <c:v>45328</c:v>
                </c:pt>
                <c:pt idx="402">
                  <c:v>45329</c:v>
                </c:pt>
                <c:pt idx="403">
                  <c:v>45330</c:v>
                </c:pt>
                <c:pt idx="404">
                  <c:v>45331</c:v>
                </c:pt>
                <c:pt idx="405">
                  <c:v>45332</c:v>
                </c:pt>
                <c:pt idx="406">
                  <c:v>45333</c:v>
                </c:pt>
                <c:pt idx="407">
                  <c:v>45334</c:v>
                </c:pt>
                <c:pt idx="408">
                  <c:v>45335</c:v>
                </c:pt>
                <c:pt idx="409">
                  <c:v>45336</c:v>
                </c:pt>
                <c:pt idx="410">
                  <c:v>45337</c:v>
                </c:pt>
                <c:pt idx="411">
                  <c:v>45338</c:v>
                </c:pt>
                <c:pt idx="412">
                  <c:v>45339</c:v>
                </c:pt>
                <c:pt idx="413">
                  <c:v>45340</c:v>
                </c:pt>
                <c:pt idx="414">
                  <c:v>45341</c:v>
                </c:pt>
                <c:pt idx="415">
                  <c:v>45342</c:v>
                </c:pt>
                <c:pt idx="416">
                  <c:v>45343</c:v>
                </c:pt>
                <c:pt idx="417">
                  <c:v>45344</c:v>
                </c:pt>
                <c:pt idx="418">
                  <c:v>45345</c:v>
                </c:pt>
                <c:pt idx="419">
                  <c:v>45346</c:v>
                </c:pt>
                <c:pt idx="420">
                  <c:v>45347</c:v>
                </c:pt>
                <c:pt idx="421">
                  <c:v>45348</c:v>
                </c:pt>
                <c:pt idx="422">
                  <c:v>45349</c:v>
                </c:pt>
                <c:pt idx="423">
                  <c:v>45350</c:v>
                </c:pt>
                <c:pt idx="424">
                  <c:v>45351</c:v>
                </c:pt>
                <c:pt idx="425">
                  <c:v>45352</c:v>
                </c:pt>
                <c:pt idx="426">
                  <c:v>45353</c:v>
                </c:pt>
                <c:pt idx="427">
                  <c:v>45354</c:v>
                </c:pt>
                <c:pt idx="428">
                  <c:v>45355</c:v>
                </c:pt>
                <c:pt idx="429">
                  <c:v>45356</c:v>
                </c:pt>
                <c:pt idx="430">
                  <c:v>45357</c:v>
                </c:pt>
                <c:pt idx="431">
                  <c:v>45358</c:v>
                </c:pt>
                <c:pt idx="432">
                  <c:v>45359</c:v>
                </c:pt>
                <c:pt idx="433">
                  <c:v>45360</c:v>
                </c:pt>
                <c:pt idx="434">
                  <c:v>45361</c:v>
                </c:pt>
                <c:pt idx="435">
                  <c:v>45362</c:v>
                </c:pt>
                <c:pt idx="436">
                  <c:v>45363</c:v>
                </c:pt>
                <c:pt idx="437">
                  <c:v>45364</c:v>
                </c:pt>
                <c:pt idx="438">
                  <c:v>45365</c:v>
                </c:pt>
                <c:pt idx="439">
                  <c:v>45366</c:v>
                </c:pt>
                <c:pt idx="440">
                  <c:v>45367</c:v>
                </c:pt>
                <c:pt idx="441">
                  <c:v>45368</c:v>
                </c:pt>
                <c:pt idx="442">
                  <c:v>45369</c:v>
                </c:pt>
                <c:pt idx="443">
                  <c:v>45370</c:v>
                </c:pt>
                <c:pt idx="444">
                  <c:v>45371</c:v>
                </c:pt>
                <c:pt idx="445">
                  <c:v>45372</c:v>
                </c:pt>
                <c:pt idx="446">
                  <c:v>45373</c:v>
                </c:pt>
                <c:pt idx="447">
                  <c:v>45374</c:v>
                </c:pt>
                <c:pt idx="448">
                  <c:v>45375</c:v>
                </c:pt>
                <c:pt idx="449">
                  <c:v>45376</c:v>
                </c:pt>
                <c:pt idx="450">
                  <c:v>45377</c:v>
                </c:pt>
                <c:pt idx="451">
                  <c:v>45378</c:v>
                </c:pt>
                <c:pt idx="452">
                  <c:v>45379</c:v>
                </c:pt>
                <c:pt idx="453">
                  <c:v>45380</c:v>
                </c:pt>
                <c:pt idx="454">
                  <c:v>45381</c:v>
                </c:pt>
                <c:pt idx="455">
                  <c:v>45382</c:v>
                </c:pt>
                <c:pt idx="456">
                  <c:v>45383</c:v>
                </c:pt>
                <c:pt idx="457">
                  <c:v>45384</c:v>
                </c:pt>
                <c:pt idx="458">
                  <c:v>45385</c:v>
                </c:pt>
                <c:pt idx="459">
                  <c:v>45386</c:v>
                </c:pt>
                <c:pt idx="460">
                  <c:v>45387</c:v>
                </c:pt>
                <c:pt idx="461">
                  <c:v>45388</c:v>
                </c:pt>
                <c:pt idx="462">
                  <c:v>45389</c:v>
                </c:pt>
                <c:pt idx="463">
                  <c:v>45390</c:v>
                </c:pt>
                <c:pt idx="464">
                  <c:v>45391</c:v>
                </c:pt>
                <c:pt idx="465">
                  <c:v>45392</c:v>
                </c:pt>
                <c:pt idx="466">
                  <c:v>45393</c:v>
                </c:pt>
                <c:pt idx="467">
                  <c:v>45394</c:v>
                </c:pt>
                <c:pt idx="468">
                  <c:v>45395</c:v>
                </c:pt>
                <c:pt idx="469">
                  <c:v>45396</c:v>
                </c:pt>
                <c:pt idx="470">
                  <c:v>45397</c:v>
                </c:pt>
                <c:pt idx="471">
                  <c:v>45398</c:v>
                </c:pt>
                <c:pt idx="472">
                  <c:v>45399</c:v>
                </c:pt>
                <c:pt idx="473">
                  <c:v>45400</c:v>
                </c:pt>
                <c:pt idx="474">
                  <c:v>45401</c:v>
                </c:pt>
                <c:pt idx="475">
                  <c:v>45402</c:v>
                </c:pt>
                <c:pt idx="476">
                  <c:v>45403</c:v>
                </c:pt>
                <c:pt idx="477">
                  <c:v>45404</c:v>
                </c:pt>
                <c:pt idx="478">
                  <c:v>45405</c:v>
                </c:pt>
                <c:pt idx="479">
                  <c:v>45406</c:v>
                </c:pt>
                <c:pt idx="480">
                  <c:v>45407</c:v>
                </c:pt>
                <c:pt idx="481">
                  <c:v>45408</c:v>
                </c:pt>
                <c:pt idx="482">
                  <c:v>45409</c:v>
                </c:pt>
                <c:pt idx="483">
                  <c:v>45410</c:v>
                </c:pt>
              </c:numCache>
            </c:numRef>
          </c:cat>
          <c:val>
            <c:numRef>
              <c:f>forecast_chart!$D$2:$D$485</c:f>
              <c:numCache>
                <c:formatCode>General</c:formatCode>
                <c:ptCount val="484"/>
                <c:pt idx="386" formatCode="0.00">
                  <c:v>353.464221248873</c:v>
                </c:pt>
                <c:pt idx="387" formatCode="0.00">
                  <c:v>109.84689832145281</c:v>
                </c:pt>
                <c:pt idx="388" formatCode="0.00">
                  <c:v>108.61028185955092</c:v>
                </c:pt>
                <c:pt idx="389" formatCode="0.00">
                  <c:v>107.35542986577204</c:v>
                </c:pt>
                <c:pt idx="390" formatCode="0.00">
                  <c:v>106.0823805461911</c:v>
                </c:pt>
                <c:pt idx="391" formatCode="0.00">
                  <c:v>104.79117532311631</c:v>
                </c:pt>
                <c:pt idx="392" formatCode="0.00">
                  <c:v>103.48185872291361</c:v>
                </c:pt>
                <c:pt idx="393" formatCode="0.00">
                  <c:v>102.15447826396544</c:v>
                </c:pt>
                <c:pt idx="394" formatCode="0.00">
                  <c:v>100.80908434498045</c:v>
                </c:pt>
                <c:pt idx="395" formatCode="0.00">
                  <c:v>99.445730133793262</c:v>
                </c:pt>
                <c:pt idx="396" formatCode="0.00">
                  <c:v>98.064471456855557</c:v>
                </c:pt>
                <c:pt idx="397" formatCode="0.00">
                  <c:v>96.665366689540349</c:v>
                </c:pt>
                <c:pt idx="398" formatCode="0.00">
                  <c:v>95.248476647443852</c:v>
                </c:pt>
                <c:pt idx="399" formatCode="0.00">
                  <c:v>93.813864478789867</c:v>
                </c:pt>
                <c:pt idx="400" formatCode="0.00">
                  <c:v>92.36159555810292</c:v>
                </c:pt>
                <c:pt idx="401" formatCode="0.00">
                  <c:v>90.891737381238215</c:v>
                </c:pt>
                <c:pt idx="402" formatCode="0.00">
                  <c:v>89.404359461917863</c:v>
                </c:pt>
                <c:pt idx="403" formatCode="0.00">
                  <c:v>87.899533229842802</c:v>
                </c:pt>
                <c:pt idx="404" formatCode="0.00">
                  <c:v>86.377331930513606</c:v>
                </c:pt>
                <c:pt idx="405" formatCode="0.00">
                  <c:v>84.837830526812638</c:v>
                </c:pt>
                <c:pt idx="406" formatCode="0.00">
                  <c:v>83.281105602464379</c:v>
                </c:pt>
                <c:pt idx="407" formatCode="0.00">
                  <c:v>81.70723526740943</c:v>
                </c:pt>
                <c:pt idx="408" formatCode="0.00">
                  <c:v>80.116299065193857</c:v>
                </c:pt>
                <c:pt idx="409" formatCode="0.00">
                  <c:v>78.508377882393745</c:v>
                </c:pt>
                <c:pt idx="410" formatCode="0.00">
                  <c:v>76.88355386016201</c:v>
                </c:pt>
                <c:pt idx="411" formatCode="0.00">
                  <c:v>75.241910307902003</c:v>
                </c:pt>
                <c:pt idx="412" formatCode="0.00">
                  <c:v>73.583531619141809</c:v>
                </c:pt>
                <c:pt idx="413" formatCode="0.00">
                  <c:v>71.908503189600879</c:v>
                </c:pt>
                <c:pt idx="414" formatCode="0.00">
                  <c:v>70.216911337508293</c:v>
                </c:pt>
                <c:pt idx="415" formatCode="0.00">
                  <c:v>68.508843226154113</c:v>
                </c:pt>
                <c:pt idx="416" formatCode="0.00">
                  <c:v>66.784386788720894</c:v>
                </c:pt>
                <c:pt idx="417" formatCode="0.00">
                  <c:v>65.043630655364211</c:v>
                </c:pt>
                <c:pt idx="418" formatCode="0.00">
                  <c:v>63.286664082581751</c:v>
                </c:pt>
                <c:pt idx="419" formatCode="0.00">
                  <c:v>61.51357688482733</c:v>
                </c:pt>
                <c:pt idx="420" formatCode="0.00">
                  <c:v>59.72445936840171</c:v>
                </c:pt>
                <c:pt idx="421" formatCode="0.00">
                  <c:v>57.919402267567705</c:v>
                </c:pt>
                <c:pt idx="422" formatCode="0.00">
                  <c:v>56.0984966829119</c:v>
                </c:pt>
                <c:pt idx="423" formatCode="0.00">
                  <c:v>54.261834021896334</c:v>
                </c:pt>
                <c:pt idx="424" formatCode="0.00">
                  <c:v>52.409505941611826</c:v>
                </c:pt>
                <c:pt idx="425" formatCode="0.00">
                  <c:v>50.541604293671867</c:v>
                </c:pt>
                <c:pt idx="426" formatCode="0.00">
                  <c:v>48.658221071253479</c:v>
                </c:pt>
                <c:pt idx="427" formatCode="0.00">
                  <c:v>46.759448358216389</c:v>
                </c:pt>
                <c:pt idx="428" formatCode="0.00">
                  <c:v>44.845378280304772</c:v>
                </c:pt>
                <c:pt idx="429" formatCode="0.00">
                  <c:v>42.916102958356362</c:v>
                </c:pt>
                <c:pt idx="430" formatCode="0.00">
                  <c:v>40.971714463520243</c:v>
                </c:pt>
                <c:pt idx="431" formatCode="0.00">
                  <c:v>39.012304774405607</c:v>
                </c:pt>
                <c:pt idx="432" formatCode="0.00">
                  <c:v>37.037965736157105</c:v>
                </c:pt>
                <c:pt idx="433" formatCode="0.00">
                  <c:v>35.048789021379321</c:v>
                </c:pt>
                <c:pt idx="434" formatCode="0.00">
                  <c:v>33.044866092902282</c:v>
                </c:pt>
                <c:pt idx="435" formatCode="0.00">
                  <c:v>31.026288168308554</c:v>
                </c:pt>
                <c:pt idx="436" formatCode="0.00">
                  <c:v>28.993146186212584</c:v>
                </c:pt>
                <c:pt idx="437" formatCode="0.00">
                  <c:v>26.945530774211932</c:v>
                </c:pt>
                <c:pt idx="438" formatCode="0.00">
                  <c:v>24.883532218499852</c:v>
                </c:pt>
                <c:pt idx="439" formatCode="0.00">
                  <c:v>22.807240435057906</c:v>
                </c:pt>
                <c:pt idx="440" formatCode="0.00">
                  <c:v>20.716744942417904</c:v>
                </c:pt>
                <c:pt idx="441" formatCode="0.00">
                  <c:v>18.612134835912286</c:v>
                </c:pt>
                <c:pt idx="442" formatCode="0.00">
                  <c:v>16.493498763400964</c:v>
                </c:pt>
                <c:pt idx="443" formatCode="0.00">
                  <c:v>14.360924902395766</c:v>
                </c:pt>
                <c:pt idx="444" formatCode="0.00">
                  <c:v>12.214500938569927</c:v>
                </c:pt>
                <c:pt idx="445" formatCode="0.00">
                  <c:v>10.054314045573449</c:v>
                </c:pt>
                <c:pt idx="446" formatCode="0.00">
                  <c:v>7.8804508661458499</c:v>
                </c:pt>
                <c:pt idx="447" formatCode="0.00">
                  <c:v>5.6929974944445689</c:v>
                </c:pt>
                <c:pt idx="448" formatCode="0.00">
                  <c:v>3.4920394595831681</c:v>
                </c:pt>
                <c:pt idx="449" formatCode="0.00">
                  <c:v>1.2776617102991281</c:v>
                </c:pt>
                <c:pt idx="450" formatCode="0.00">
                  <c:v>-0.95005139925302728</c:v>
                </c:pt>
                <c:pt idx="451" formatCode="0.00">
                  <c:v>-3.1910161226638252</c:v>
                </c:pt>
                <c:pt idx="452" formatCode="0.00">
                  <c:v>-5.4451493333872349</c:v>
                </c:pt>
                <c:pt idx="453" formatCode="0.00">
                  <c:v>-7.7123685358943703</c:v>
                </c:pt>
                <c:pt idx="454" formatCode="0.00">
                  <c:v>-9.992591875862729</c:v>
                </c:pt>
                <c:pt idx="455" formatCode="0.00">
                  <c:v>-12.28573814947805</c:v>
                </c:pt>
                <c:pt idx="456" formatCode="0.00">
                  <c:v>-14.591726811846854</c:v>
                </c:pt>
                <c:pt idx="457" formatCode="0.00">
                  <c:v>-16.910477984594536</c:v>
                </c:pt>
                <c:pt idx="458" formatCode="0.00">
                  <c:v>-19.24191246264752</c:v>
                </c:pt>
                <c:pt idx="459" formatCode="0.00">
                  <c:v>-21.585951720269861</c:v>
                </c:pt>
                <c:pt idx="460" formatCode="0.00">
                  <c:v>-23.942517916350823</c:v>
                </c:pt>
                <c:pt idx="461" formatCode="0.00">
                  <c:v>-26.311533899015672</c:v>
                </c:pt>
                <c:pt idx="462" formatCode="0.00">
                  <c:v>-28.692923209549576</c:v>
                </c:pt>
                <c:pt idx="463" formatCode="0.00">
                  <c:v>-31.086610085707775</c:v>
                </c:pt>
                <c:pt idx="464" formatCode="0.00">
                  <c:v>-33.492519464400516</c:v>
                </c:pt>
                <c:pt idx="465" formatCode="0.00">
                  <c:v>-35.910576983820249</c:v>
                </c:pt>
                <c:pt idx="466" formatCode="0.00">
                  <c:v>-38.340708985003573</c:v>
                </c:pt>
                <c:pt idx="467" formatCode="0.00">
                  <c:v>-40.782842512888635</c:v>
                </c:pt>
                <c:pt idx="468" formatCode="0.00">
                  <c:v>-43.236905316860089</c:v>
                </c:pt>
                <c:pt idx="469" formatCode="0.00">
                  <c:v>-45.702825850842487</c:v>
                </c:pt>
                <c:pt idx="470" formatCode="0.00">
                  <c:v>-48.180533272929665</c:v>
                </c:pt>
                <c:pt idx="471" formatCode="0.00">
                  <c:v>-50.66995744461093</c:v>
                </c:pt>
                <c:pt idx="472" formatCode="0.00">
                  <c:v>-53.171028929579165</c:v>
                </c:pt>
                <c:pt idx="473" formatCode="0.00">
                  <c:v>-55.68367899218066</c:v>
                </c:pt>
                <c:pt idx="474" formatCode="0.00">
                  <c:v>-58.207839595489588</c:v>
                </c:pt>
                <c:pt idx="475" formatCode="0.00">
                  <c:v>-60.743443399065427</c:v>
                </c:pt>
                <c:pt idx="476" formatCode="0.00">
                  <c:v>-63.290423756374764</c:v>
                </c:pt>
                <c:pt idx="477" formatCode="0.00">
                  <c:v>-65.848714711934463</c:v>
                </c:pt>
                <c:pt idx="478" formatCode="0.00">
                  <c:v>-68.418250998155827</c:v>
                </c:pt>
                <c:pt idx="479" formatCode="0.00">
                  <c:v>-70.998968031945026</c:v>
                </c:pt>
                <c:pt idx="480" formatCode="0.00">
                  <c:v>-73.590801911039023</c:v>
                </c:pt>
                <c:pt idx="481" formatCode="0.00">
                  <c:v>-76.193689410129934</c:v>
                </c:pt>
                <c:pt idx="482" formatCode="0.00">
                  <c:v>-78.80756797675582</c:v>
                </c:pt>
                <c:pt idx="483" formatCode="0.00">
                  <c:v>-81.432375727009628</c:v>
                </c:pt>
              </c:numCache>
            </c:numRef>
          </c:val>
          <c:smooth val="0"/>
          <c:extLst>
            <c:ext xmlns:c16="http://schemas.microsoft.com/office/drawing/2014/chart" uri="{C3380CC4-5D6E-409C-BE32-E72D297353CC}">
              <c16:uniqueId val="{00000002-0FFF-4471-A08A-843D2C8ABA30}"/>
            </c:ext>
          </c:extLst>
        </c:ser>
        <c:ser>
          <c:idx val="3"/>
          <c:order val="3"/>
          <c:tx>
            <c:strRef>
              <c:f>forecast_chart!$E$1</c:f>
              <c:strCache>
                <c:ptCount val="1"/>
                <c:pt idx="0">
                  <c:v>Upper Confidence Bound(Profit)</c:v>
                </c:pt>
              </c:strCache>
            </c:strRef>
          </c:tx>
          <c:spPr>
            <a:ln w="12700" cap="rnd">
              <a:solidFill>
                <a:srgbClr val="ED7D31"/>
              </a:solidFill>
              <a:prstDash val="solid"/>
              <a:round/>
            </a:ln>
            <a:effectLst/>
          </c:spPr>
          <c:marker>
            <c:symbol val="none"/>
          </c:marker>
          <c:cat>
            <c:numRef>
              <c:f>forecast_chart!$A$2:$A$485</c:f>
              <c:numCache>
                <c:formatCode>dd-mm-yyyy</c:formatCode>
                <c:ptCount val="484"/>
                <c:pt idx="0">
                  <c:v>44927</c:v>
                </c:pt>
                <c:pt idx="1">
                  <c:v>44928</c:v>
                </c:pt>
                <c:pt idx="2">
                  <c:v>44929</c:v>
                </c:pt>
                <c:pt idx="3">
                  <c:v>44930</c:v>
                </c:pt>
                <c:pt idx="4">
                  <c:v>44931</c:v>
                </c:pt>
                <c:pt idx="5">
                  <c:v>44932</c:v>
                </c:pt>
                <c:pt idx="6">
                  <c:v>44933</c:v>
                </c:pt>
                <c:pt idx="7">
                  <c:v>44934</c:v>
                </c:pt>
                <c:pt idx="8">
                  <c:v>44935</c:v>
                </c:pt>
                <c:pt idx="9">
                  <c:v>44936</c:v>
                </c:pt>
                <c:pt idx="10">
                  <c:v>44937</c:v>
                </c:pt>
                <c:pt idx="11">
                  <c:v>44938</c:v>
                </c:pt>
                <c:pt idx="12">
                  <c:v>44939</c:v>
                </c:pt>
                <c:pt idx="13">
                  <c:v>44940</c:v>
                </c:pt>
                <c:pt idx="14">
                  <c:v>44941</c:v>
                </c:pt>
                <c:pt idx="15">
                  <c:v>44942</c:v>
                </c:pt>
                <c:pt idx="16">
                  <c:v>44943</c:v>
                </c:pt>
                <c:pt idx="17">
                  <c:v>44944</c:v>
                </c:pt>
                <c:pt idx="18">
                  <c:v>44945</c:v>
                </c:pt>
                <c:pt idx="19">
                  <c:v>44946</c:v>
                </c:pt>
                <c:pt idx="20">
                  <c:v>44947</c:v>
                </c:pt>
                <c:pt idx="21">
                  <c:v>44948</c:v>
                </c:pt>
                <c:pt idx="22">
                  <c:v>44949</c:v>
                </c:pt>
                <c:pt idx="23">
                  <c:v>44950</c:v>
                </c:pt>
                <c:pt idx="24">
                  <c:v>44951</c:v>
                </c:pt>
                <c:pt idx="25">
                  <c:v>44952</c:v>
                </c:pt>
                <c:pt idx="26">
                  <c:v>44953</c:v>
                </c:pt>
                <c:pt idx="27">
                  <c:v>44954</c:v>
                </c:pt>
                <c:pt idx="28">
                  <c:v>44955</c:v>
                </c:pt>
                <c:pt idx="29">
                  <c:v>44956</c:v>
                </c:pt>
                <c:pt idx="30">
                  <c:v>44957</c:v>
                </c:pt>
                <c:pt idx="31">
                  <c:v>44958</c:v>
                </c:pt>
                <c:pt idx="32">
                  <c:v>44959</c:v>
                </c:pt>
                <c:pt idx="33">
                  <c:v>44960</c:v>
                </c:pt>
                <c:pt idx="34">
                  <c:v>44961</c:v>
                </c:pt>
                <c:pt idx="35">
                  <c:v>44962</c:v>
                </c:pt>
                <c:pt idx="36">
                  <c:v>44963</c:v>
                </c:pt>
                <c:pt idx="37">
                  <c:v>44964</c:v>
                </c:pt>
                <c:pt idx="38">
                  <c:v>44965</c:v>
                </c:pt>
                <c:pt idx="39">
                  <c:v>44966</c:v>
                </c:pt>
                <c:pt idx="40">
                  <c:v>44967</c:v>
                </c:pt>
                <c:pt idx="41">
                  <c:v>44968</c:v>
                </c:pt>
                <c:pt idx="42">
                  <c:v>44969</c:v>
                </c:pt>
                <c:pt idx="43">
                  <c:v>44970</c:v>
                </c:pt>
                <c:pt idx="44">
                  <c:v>44971</c:v>
                </c:pt>
                <c:pt idx="45">
                  <c:v>44972</c:v>
                </c:pt>
                <c:pt idx="46">
                  <c:v>44973</c:v>
                </c:pt>
                <c:pt idx="47">
                  <c:v>44974</c:v>
                </c:pt>
                <c:pt idx="48">
                  <c:v>44975</c:v>
                </c:pt>
                <c:pt idx="49">
                  <c:v>44976</c:v>
                </c:pt>
                <c:pt idx="50">
                  <c:v>44977</c:v>
                </c:pt>
                <c:pt idx="51">
                  <c:v>44978</c:v>
                </c:pt>
                <c:pt idx="52">
                  <c:v>44979</c:v>
                </c:pt>
                <c:pt idx="53">
                  <c:v>44980</c:v>
                </c:pt>
                <c:pt idx="54">
                  <c:v>44981</c:v>
                </c:pt>
                <c:pt idx="55">
                  <c:v>44982</c:v>
                </c:pt>
                <c:pt idx="56">
                  <c:v>44983</c:v>
                </c:pt>
                <c:pt idx="57">
                  <c:v>44984</c:v>
                </c:pt>
                <c:pt idx="58">
                  <c:v>44985</c:v>
                </c:pt>
                <c:pt idx="59">
                  <c:v>44986</c:v>
                </c:pt>
                <c:pt idx="60">
                  <c:v>44987</c:v>
                </c:pt>
                <c:pt idx="61">
                  <c:v>44988</c:v>
                </c:pt>
                <c:pt idx="62">
                  <c:v>44989</c:v>
                </c:pt>
                <c:pt idx="63">
                  <c:v>44990</c:v>
                </c:pt>
                <c:pt idx="64">
                  <c:v>44991</c:v>
                </c:pt>
                <c:pt idx="65">
                  <c:v>44992</c:v>
                </c:pt>
                <c:pt idx="66">
                  <c:v>44993</c:v>
                </c:pt>
                <c:pt idx="67">
                  <c:v>44994</c:v>
                </c:pt>
                <c:pt idx="68">
                  <c:v>44995</c:v>
                </c:pt>
                <c:pt idx="69">
                  <c:v>44996</c:v>
                </c:pt>
                <c:pt idx="70">
                  <c:v>44997</c:v>
                </c:pt>
                <c:pt idx="71">
                  <c:v>44998</c:v>
                </c:pt>
                <c:pt idx="72">
                  <c:v>44999</c:v>
                </c:pt>
                <c:pt idx="73">
                  <c:v>45000</c:v>
                </c:pt>
                <c:pt idx="74">
                  <c:v>45001</c:v>
                </c:pt>
                <c:pt idx="75">
                  <c:v>45002</c:v>
                </c:pt>
                <c:pt idx="76">
                  <c:v>45003</c:v>
                </c:pt>
                <c:pt idx="77">
                  <c:v>45004</c:v>
                </c:pt>
                <c:pt idx="78">
                  <c:v>45005</c:v>
                </c:pt>
                <c:pt idx="79">
                  <c:v>45006</c:v>
                </c:pt>
                <c:pt idx="80">
                  <c:v>45007</c:v>
                </c:pt>
                <c:pt idx="81">
                  <c:v>45008</c:v>
                </c:pt>
                <c:pt idx="82">
                  <c:v>45009</c:v>
                </c:pt>
                <c:pt idx="83">
                  <c:v>45010</c:v>
                </c:pt>
                <c:pt idx="84">
                  <c:v>45011</c:v>
                </c:pt>
                <c:pt idx="85">
                  <c:v>45012</c:v>
                </c:pt>
                <c:pt idx="86">
                  <c:v>45013</c:v>
                </c:pt>
                <c:pt idx="87">
                  <c:v>45014</c:v>
                </c:pt>
                <c:pt idx="88">
                  <c:v>45015</c:v>
                </c:pt>
                <c:pt idx="89">
                  <c:v>45016</c:v>
                </c:pt>
                <c:pt idx="90">
                  <c:v>45017</c:v>
                </c:pt>
                <c:pt idx="91">
                  <c:v>45018</c:v>
                </c:pt>
                <c:pt idx="92">
                  <c:v>45019</c:v>
                </c:pt>
                <c:pt idx="93">
                  <c:v>45020</c:v>
                </c:pt>
                <c:pt idx="94">
                  <c:v>45021</c:v>
                </c:pt>
                <c:pt idx="95">
                  <c:v>45022</c:v>
                </c:pt>
                <c:pt idx="96">
                  <c:v>45023</c:v>
                </c:pt>
                <c:pt idx="97">
                  <c:v>45024</c:v>
                </c:pt>
                <c:pt idx="98">
                  <c:v>45025</c:v>
                </c:pt>
                <c:pt idx="99">
                  <c:v>45026</c:v>
                </c:pt>
                <c:pt idx="100">
                  <c:v>45027</c:v>
                </c:pt>
                <c:pt idx="101">
                  <c:v>45028</c:v>
                </c:pt>
                <c:pt idx="102">
                  <c:v>45029</c:v>
                </c:pt>
                <c:pt idx="103">
                  <c:v>45030</c:v>
                </c:pt>
                <c:pt idx="104">
                  <c:v>45031</c:v>
                </c:pt>
                <c:pt idx="105">
                  <c:v>45032</c:v>
                </c:pt>
                <c:pt idx="106">
                  <c:v>45033</c:v>
                </c:pt>
                <c:pt idx="107">
                  <c:v>45034</c:v>
                </c:pt>
                <c:pt idx="108">
                  <c:v>45035</c:v>
                </c:pt>
                <c:pt idx="109">
                  <c:v>45036</c:v>
                </c:pt>
                <c:pt idx="110">
                  <c:v>45037</c:v>
                </c:pt>
                <c:pt idx="111">
                  <c:v>45038</c:v>
                </c:pt>
                <c:pt idx="112">
                  <c:v>45039</c:v>
                </c:pt>
                <c:pt idx="113">
                  <c:v>45040</c:v>
                </c:pt>
                <c:pt idx="114">
                  <c:v>45041</c:v>
                </c:pt>
                <c:pt idx="115">
                  <c:v>45042</c:v>
                </c:pt>
                <c:pt idx="116">
                  <c:v>45043</c:v>
                </c:pt>
                <c:pt idx="117">
                  <c:v>45044</c:v>
                </c:pt>
                <c:pt idx="118">
                  <c:v>45045</c:v>
                </c:pt>
                <c:pt idx="119">
                  <c:v>45046</c:v>
                </c:pt>
                <c:pt idx="120">
                  <c:v>45047</c:v>
                </c:pt>
                <c:pt idx="121">
                  <c:v>45048</c:v>
                </c:pt>
                <c:pt idx="122">
                  <c:v>45049</c:v>
                </c:pt>
                <c:pt idx="123">
                  <c:v>45050</c:v>
                </c:pt>
                <c:pt idx="124">
                  <c:v>45051</c:v>
                </c:pt>
                <c:pt idx="125">
                  <c:v>45052</c:v>
                </c:pt>
                <c:pt idx="126">
                  <c:v>45053</c:v>
                </c:pt>
                <c:pt idx="127">
                  <c:v>45054</c:v>
                </c:pt>
                <c:pt idx="128">
                  <c:v>45055</c:v>
                </c:pt>
                <c:pt idx="129">
                  <c:v>45056</c:v>
                </c:pt>
                <c:pt idx="130">
                  <c:v>45057</c:v>
                </c:pt>
                <c:pt idx="131">
                  <c:v>45058</c:v>
                </c:pt>
                <c:pt idx="132">
                  <c:v>45059</c:v>
                </c:pt>
                <c:pt idx="133">
                  <c:v>45060</c:v>
                </c:pt>
                <c:pt idx="134">
                  <c:v>45061</c:v>
                </c:pt>
                <c:pt idx="135">
                  <c:v>45062</c:v>
                </c:pt>
                <c:pt idx="136">
                  <c:v>45063</c:v>
                </c:pt>
                <c:pt idx="137">
                  <c:v>45064</c:v>
                </c:pt>
                <c:pt idx="138">
                  <c:v>45065</c:v>
                </c:pt>
                <c:pt idx="139">
                  <c:v>45066</c:v>
                </c:pt>
                <c:pt idx="140">
                  <c:v>45067</c:v>
                </c:pt>
                <c:pt idx="141">
                  <c:v>45068</c:v>
                </c:pt>
                <c:pt idx="142">
                  <c:v>45069</c:v>
                </c:pt>
                <c:pt idx="143">
                  <c:v>45070</c:v>
                </c:pt>
                <c:pt idx="144">
                  <c:v>45071</c:v>
                </c:pt>
                <c:pt idx="145">
                  <c:v>45072</c:v>
                </c:pt>
                <c:pt idx="146">
                  <c:v>45073</c:v>
                </c:pt>
                <c:pt idx="147">
                  <c:v>45074</c:v>
                </c:pt>
                <c:pt idx="148">
                  <c:v>45075</c:v>
                </c:pt>
                <c:pt idx="149">
                  <c:v>45076</c:v>
                </c:pt>
                <c:pt idx="150">
                  <c:v>45077</c:v>
                </c:pt>
                <c:pt idx="151">
                  <c:v>45078</c:v>
                </c:pt>
                <c:pt idx="152">
                  <c:v>45079</c:v>
                </c:pt>
                <c:pt idx="153">
                  <c:v>45080</c:v>
                </c:pt>
                <c:pt idx="154">
                  <c:v>45081</c:v>
                </c:pt>
                <c:pt idx="155">
                  <c:v>45082</c:v>
                </c:pt>
                <c:pt idx="156">
                  <c:v>45083</c:v>
                </c:pt>
                <c:pt idx="157">
                  <c:v>45084</c:v>
                </c:pt>
                <c:pt idx="158">
                  <c:v>45085</c:v>
                </c:pt>
                <c:pt idx="159">
                  <c:v>45086</c:v>
                </c:pt>
                <c:pt idx="160">
                  <c:v>45087</c:v>
                </c:pt>
                <c:pt idx="161">
                  <c:v>45088</c:v>
                </c:pt>
                <c:pt idx="162">
                  <c:v>45089</c:v>
                </c:pt>
                <c:pt idx="163">
                  <c:v>45090</c:v>
                </c:pt>
                <c:pt idx="164">
                  <c:v>45091</c:v>
                </c:pt>
                <c:pt idx="165">
                  <c:v>45092</c:v>
                </c:pt>
                <c:pt idx="166">
                  <c:v>45093</c:v>
                </c:pt>
                <c:pt idx="167">
                  <c:v>45094</c:v>
                </c:pt>
                <c:pt idx="168">
                  <c:v>45095</c:v>
                </c:pt>
                <c:pt idx="169">
                  <c:v>45096</c:v>
                </c:pt>
                <c:pt idx="170">
                  <c:v>45097</c:v>
                </c:pt>
                <c:pt idx="171">
                  <c:v>45098</c:v>
                </c:pt>
                <c:pt idx="172">
                  <c:v>45099</c:v>
                </c:pt>
                <c:pt idx="173">
                  <c:v>45100</c:v>
                </c:pt>
                <c:pt idx="174">
                  <c:v>45101</c:v>
                </c:pt>
                <c:pt idx="175">
                  <c:v>45102</c:v>
                </c:pt>
                <c:pt idx="176">
                  <c:v>45103</c:v>
                </c:pt>
                <c:pt idx="177">
                  <c:v>45104</c:v>
                </c:pt>
                <c:pt idx="178">
                  <c:v>45105</c:v>
                </c:pt>
                <c:pt idx="179">
                  <c:v>45106</c:v>
                </c:pt>
                <c:pt idx="180">
                  <c:v>45107</c:v>
                </c:pt>
                <c:pt idx="181">
                  <c:v>45108</c:v>
                </c:pt>
                <c:pt idx="182">
                  <c:v>45109</c:v>
                </c:pt>
                <c:pt idx="183">
                  <c:v>45110</c:v>
                </c:pt>
                <c:pt idx="184">
                  <c:v>45111</c:v>
                </c:pt>
                <c:pt idx="185">
                  <c:v>45112</c:v>
                </c:pt>
                <c:pt idx="186">
                  <c:v>45113</c:v>
                </c:pt>
                <c:pt idx="187">
                  <c:v>45114</c:v>
                </c:pt>
                <c:pt idx="188">
                  <c:v>45115</c:v>
                </c:pt>
                <c:pt idx="189">
                  <c:v>45116</c:v>
                </c:pt>
                <c:pt idx="190">
                  <c:v>45117</c:v>
                </c:pt>
                <c:pt idx="191">
                  <c:v>45118</c:v>
                </c:pt>
                <c:pt idx="192">
                  <c:v>45119</c:v>
                </c:pt>
                <c:pt idx="193">
                  <c:v>45120</c:v>
                </c:pt>
                <c:pt idx="194">
                  <c:v>45121</c:v>
                </c:pt>
                <c:pt idx="195">
                  <c:v>45122</c:v>
                </c:pt>
                <c:pt idx="196">
                  <c:v>45123</c:v>
                </c:pt>
                <c:pt idx="197">
                  <c:v>45124</c:v>
                </c:pt>
                <c:pt idx="198">
                  <c:v>45125</c:v>
                </c:pt>
                <c:pt idx="199">
                  <c:v>45126</c:v>
                </c:pt>
                <c:pt idx="200">
                  <c:v>45127</c:v>
                </c:pt>
                <c:pt idx="201">
                  <c:v>45128</c:v>
                </c:pt>
                <c:pt idx="202">
                  <c:v>45129</c:v>
                </c:pt>
                <c:pt idx="203">
                  <c:v>45130</c:v>
                </c:pt>
                <c:pt idx="204">
                  <c:v>45131</c:v>
                </c:pt>
                <c:pt idx="205">
                  <c:v>45132</c:v>
                </c:pt>
                <c:pt idx="206">
                  <c:v>45133</c:v>
                </c:pt>
                <c:pt idx="207">
                  <c:v>45134</c:v>
                </c:pt>
                <c:pt idx="208">
                  <c:v>45135</c:v>
                </c:pt>
                <c:pt idx="209">
                  <c:v>45136</c:v>
                </c:pt>
                <c:pt idx="210">
                  <c:v>45137</c:v>
                </c:pt>
                <c:pt idx="211">
                  <c:v>45138</c:v>
                </c:pt>
                <c:pt idx="212">
                  <c:v>45139</c:v>
                </c:pt>
                <c:pt idx="213">
                  <c:v>45140</c:v>
                </c:pt>
                <c:pt idx="214">
                  <c:v>45141</c:v>
                </c:pt>
                <c:pt idx="215">
                  <c:v>45142</c:v>
                </c:pt>
                <c:pt idx="216">
                  <c:v>45143</c:v>
                </c:pt>
                <c:pt idx="217">
                  <c:v>45144</c:v>
                </c:pt>
                <c:pt idx="218">
                  <c:v>45145</c:v>
                </c:pt>
                <c:pt idx="219">
                  <c:v>45146</c:v>
                </c:pt>
                <c:pt idx="220">
                  <c:v>45147</c:v>
                </c:pt>
                <c:pt idx="221">
                  <c:v>45148</c:v>
                </c:pt>
                <c:pt idx="222">
                  <c:v>45149</c:v>
                </c:pt>
                <c:pt idx="223">
                  <c:v>45150</c:v>
                </c:pt>
                <c:pt idx="224">
                  <c:v>45151</c:v>
                </c:pt>
                <c:pt idx="225">
                  <c:v>45152</c:v>
                </c:pt>
                <c:pt idx="226">
                  <c:v>45153</c:v>
                </c:pt>
                <c:pt idx="227">
                  <c:v>45154</c:v>
                </c:pt>
                <c:pt idx="228">
                  <c:v>45155</c:v>
                </c:pt>
                <c:pt idx="229">
                  <c:v>45156</c:v>
                </c:pt>
                <c:pt idx="230">
                  <c:v>45157</c:v>
                </c:pt>
                <c:pt idx="231">
                  <c:v>45158</c:v>
                </c:pt>
                <c:pt idx="232">
                  <c:v>45159</c:v>
                </c:pt>
                <c:pt idx="233">
                  <c:v>45160</c:v>
                </c:pt>
                <c:pt idx="234">
                  <c:v>45161</c:v>
                </c:pt>
                <c:pt idx="235">
                  <c:v>45162</c:v>
                </c:pt>
                <c:pt idx="236">
                  <c:v>45163</c:v>
                </c:pt>
                <c:pt idx="237">
                  <c:v>45164</c:v>
                </c:pt>
                <c:pt idx="238">
                  <c:v>45165</c:v>
                </c:pt>
                <c:pt idx="239">
                  <c:v>45166</c:v>
                </c:pt>
                <c:pt idx="240">
                  <c:v>45167</c:v>
                </c:pt>
                <c:pt idx="241">
                  <c:v>45168</c:v>
                </c:pt>
                <c:pt idx="242">
                  <c:v>45169</c:v>
                </c:pt>
                <c:pt idx="243">
                  <c:v>45170</c:v>
                </c:pt>
                <c:pt idx="244">
                  <c:v>45171</c:v>
                </c:pt>
                <c:pt idx="245">
                  <c:v>45172</c:v>
                </c:pt>
                <c:pt idx="246">
                  <c:v>45173</c:v>
                </c:pt>
                <c:pt idx="247">
                  <c:v>45174</c:v>
                </c:pt>
                <c:pt idx="248">
                  <c:v>45175</c:v>
                </c:pt>
                <c:pt idx="249">
                  <c:v>45176</c:v>
                </c:pt>
                <c:pt idx="250">
                  <c:v>45177</c:v>
                </c:pt>
                <c:pt idx="251">
                  <c:v>45178</c:v>
                </c:pt>
                <c:pt idx="252">
                  <c:v>45179</c:v>
                </c:pt>
                <c:pt idx="253">
                  <c:v>45180</c:v>
                </c:pt>
                <c:pt idx="254">
                  <c:v>45181</c:v>
                </c:pt>
                <c:pt idx="255">
                  <c:v>45182</c:v>
                </c:pt>
                <c:pt idx="256">
                  <c:v>45183</c:v>
                </c:pt>
                <c:pt idx="257">
                  <c:v>45184</c:v>
                </c:pt>
                <c:pt idx="258">
                  <c:v>45185</c:v>
                </c:pt>
                <c:pt idx="259">
                  <c:v>45186</c:v>
                </c:pt>
                <c:pt idx="260">
                  <c:v>45187</c:v>
                </c:pt>
                <c:pt idx="261">
                  <c:v>45188</c:v>
                </c:pt>
                <c:pt idx="262">
                  <c:v>45189</c:v>
                </c:pt>
                <c:pt idx="263">
                  <c:v>45190</c:v>
                </c:pt>
                <c:pt idx="264">
                  <c:v>45191</c:v>
                </c:pt>
                <c:pt idx="265">
                  <c:v>45192</c:v>
                </c:pt>
                <c:pt idx="266">
                  <c:v>45193</c:v>
                </c:pt>
                <c:pt idx="267">
                  <c:v>45194</c:v>
                </c:pt>
                <c:pt idx="268">
                  <c:v>45195</c:v>
                </c:pt>
                <c:pt idx="269">
                  <c:v>45196</c:v>
                </c:pt>
                <c:pt idx="270">
                  <c:v>45197</c:v>
                </c:pt>
                <c:pt idx="271">
                  <c:v>45198</c:v>
                </c:pt>
                <c:pt idx="272">
                  <c:v>45199</c:v>
                </c:pt>
                <c:pt idx="273">
                  <c:v>45200</c:v>
                </c:pt>
                <c:pt idx="274">
                  <c:v>45201</c:v>
                </c:pt>
                <c:pt idx="275">
                  <c:v>45202</c:v>
                </c:pt>
                <c:pt idx="276">
                  <c:v>45203</c:v>
                </c:pt>
                <c:pt idx="277">
                  <c:v>45204</c:v>
                </c:pt>
                <c:pt idx="278">
                  <c:v>45205</c:v>
                </c:pt>
                <c:pt idx="279">
                  <c:v>45206</c:v>
                </c:pt>
                <c:pt idx="280">
                  <c:v>45207</c:v>
                </c:pt>
                <c:pt idx="281">
                  <c:v>45208</c:v>
                </c:pt>
                <c:pt idx="282">
                  <c:v>45209</c:v>
                </c:pt>
                <c:pt idx="283">
                  <c:v>45210</c:v>
                </c:pt>
                <c:pt idx="284">
                  <c:v>45211</c:v>
                </c:pt>
                <c:pt idx="285">
                  <c:v>45212</c:v>
                </c:pt>
                <c:pt idx="286">
                  <c:v>45213</c:v>
                </c:pt>
                <c:pt idx="287">
                  <c:v>45214</c:v>
                </c:pt>
                <c:pt idx="288">
                  <c:v>45215</c:v>
                </c:pt>
                <c:pt idx="289">
                  <c:v>45216</c:v>
                </c:pt>
                <c:pt idx="290">
                  <c:v>45217</c:v>
                </c:pt>
                <c:pt idx="291">
                  <c:v>45218</c:v>
                </c:pt>
                <c:pt idx="292">
                  <c:v>45219</c:v>
                </c:pt>
                <c:pt idx="293">
                  <c:v>45220</c:v>
                </c:pt>
                <c:pt idx="294">
                  <c:v>45221</c:v>
                </c:pt>
                <c:pt idx="295">
                  <c:v>45222</c:v>
                </c:pt>
                <c:pt idx="296">
                  <c:v>45223</c:v>
                </c:pt>
                <c:pt idx="297">
                  <c:v>45224</c:v>
                </c:pt>
                <c:pt idx="298">
                  <c:v>45225</c:v>
                </c:pt>
                <c:pt idx="299">
                  <c:v>45226</c:v>
                </c:pt>
                <c:pt idx="300">
                  <c:v>45227</c:v>
                </c:pt>
                <c:pt idx="301">
                  <c:v>45228</c:v>
                </c:pt>
                <c:pt idx="302">
                  <c:v>45229</c:v>
                </c:pt>
                <c:pt idx="303">
                  <c:v>45230</c:v>
                </c:pt>
                <c:pt idx="304">
                  <c:v>45231</c:v>
                </c:pt>
                <c:pt idx="305">
                  <c:v>45232</c:v>
                </c:pt>
                <c:pt idx="306">
                  <c:v>45233</c:v>
                </c:pt>
                <c:pt idx="307">
                  <c:v>45234</c:v>
                </c:pt>
                <c:pt idx="308">
                  <c:v>45235</c:v>
                </c:pt>
                <c:pt idx="309">
                  <c:v>45236</c:v>
                </c:pt>
                <c:pt idx="310">
                  <c:v>45237</c:v>
                </c:pt>
                <c:pt idx="311">
                  <c:v>45238</c:v>
                </c:pt>
                <c:pt idx="312">
                  <c:v>45239</c:v>
                </c:pt>
                <c:pt idx="313">
                  <c:v>45240</c:v>
                </c:pt>
                <c:pt idx="314">
                  <c:v>45241</c:v>
                </c:pt>
                <c:pt idx="315">
                  <c:v>45242</c:v>
                </c:pt>
                <c:pt idx="316">
                  <c:v>45243</c:v>
                </c:pt>
                <c:pt idx="317">
                  <c:v>45244</c:v>
                </c:pt>
                <c:pt idx="318">
                  <c:v>45245</c:v>
                </c:pt>
                <c:pt idx="319">
                  <c:v>45246</c:v>
                </c:pt>
                <c:pt idx="320">
                  <c:v>45247</c:v>
                </c:pt>
                <c:pt idx="321">
                  <c:v>45248</c:v>
                </c:pt>
                <c:pt idx="322">
                  <c:v>45249</c:v>
                </c:pt>
                <c:pt idx="323">
                  <c:v>45250</c:v>
                </c:pt>
                <c:pt idx="324">
                  <c:v>45251</c:v>
                </c:pt>
                <c:pt idx="325">
                  <c:v>45252</c:v>
                </c:pt>
                <c:pt idx="326">
                  <c:v>45253</c:v>
                </c:pt>
                <c:pt idx="327">
                  <c:v>45254</c:v>
                </c:pt>
                <c:pt idx="328">
                  <c:v>45255</c:v>
                </c:pt>
                <c:pt idx="329">
                  <c:v>45256</c:v>
                </c:pt>
                <c:pt idx="330">
                  <c:v>45257</c:v>
                </c:pt>
                <c:pt idx="331">
                  <c:v>45258</c:v>
                </c:pt>
                <c:pt idx="332">
                  <c:v>45259</c:v>
                </c:pt>
                <c:pt idx="333">
                  <c:v>45260</c:v>
                </c:pt>
                <c:pt idx="334">
                  <c:v>45261</c:v>
                </c:pt>
                <c:pt idx="335">
                  <c:v>45262</c:v>
                </c:pt>
                <c:pt idx="336">
                  <c:v>45263</c:v>
                </c:pt>
                <c:pt idx="337">
                  <c:v>45264</c:v>
                </c:pt>
                <c:pt idx="338">
                  <c:v>45265</c:v>
                </c:pt>
                <c:pt idx="339">
                  <c:v>45266</c:v>
                </c:pt>
                <c:pt idx="340">
                  <c:v>45267</c:v>
                </c:pt>
                <c:pt idx="341">
                  <c:v>45268</c:v>
                </c:pt>
                <c:pt idx="342">
                  <c:v>45269</c:v>
                </c:pt>
                <c:pt idx="343">
                  <c:v>45270</c:v>
                </c:pt>
                <c:pt idx="344">
                  <c:v>45271</c:v>
                </c:pt>
                <c:pt idx="345">
                  <c:v>45272</c:v>
                </c:pt>
                <c:pt idx="346">
                  <c:v>45273</c:v>
                </c:pt>
                <c:pt idx="347">
                  <c:v>45274</c:v>
                </c:pt>
                <c:pt idx="348">
                  <c:v>45275</c:v>
                </c:pt>
                <c:pt idx="349">
                  <c:v>45276</c:v>
                </c:pt>
                <c:pt idx="350">
                  <c:v>45277</c:v>
                </c:pt>
                <c:pt idx="351">
                  <c:v>45278</c:v>
                </c:pt>
                <c:pt idx="352">
                  <c:v>45279</c:v>
                </c:pt>
                <c:pt idx="353">
                  <c:v>45280</c:v>
                </c:pt>
                <c:pt idx="354">
                  <c:v>45281</c:v>
                </c:pt>
                <c:pt idx="355">
                  <c:v>45282</c:v>
                </c:pt>
                <c:pt idx="356">
                  <c:v>45283</c:v>
                </c:pt>
                <c:pt idx="357">
                  <c:v>45284</c:v>
                </c:pt>
                <c:pt idx="358">
                  <c:v>45285</c:v>
                </c:pt>
                <c:pt idx="359">
                  <c:v>45286</c:v>
                </c:pt>
                <c:pt idx="360">
                  <c:v>45287</c:v>
                </c:pt>
                <c:pt idx="361">
                  <c:v>45288</c:v>
                </c:pt>
                <c:pt idx="362">
                  <c:v>45289</c:v>
                </c:pt>
                <c:pt idx="363">
                  <c:v>45290</c:v>
                </c:pt>
                <c:pt idx="364">
                  <c:v>45291</c:v>
                </c:pt>
                <c:pt idx="365">
                  <c:v>45292</c:v>
                </c:pt>
                <c:pt idx="366">
                  <c:v>45293</c:v>
                </c:pt>
                <c:pt idx="367">
                  <c:v>45294</c:v>
                </c:pt>
                <c:pt idx="368">
                  <c:v>45295</c:v>
                </c:pt>
                <c:pt idx="369">
                  <c:v>45296</c:v>
                </c:pt>
                <c:pt idx="370">
                  <c:v>45297</c:v>
                </c:pt>
                <c:pt idx="371">
                  <c:v>45298</c:v>
                </c:pt>
                <c:pt idx="372">
                  <c:v>45299</c:v>
                </c:pt>
                <c:pt idx="373">
                  <c:v>45300</c:v>
                </c:pt>
                <c:pt idx="374">
                  <c:v>45301</c:v>
                </c:pt>
                <c:pt idx="375">
                  <c:v>45302</c:v>
                </c:pt>
                <c:pt idx="376">
                  <c:v>45303</c:v>
                </c:pt>
                <c:pt idx="377">
                  <c:v>45304</c:v>
                </c:pt>
                <c:pt idx="378">
                  <c:v>45305</c:v>
                </c:pt>
                <c:pt idx="379">
                  <c:v>45306</c:v>
                </c:pt>
                <c:pt idx="380">
                  <c:v>45307</c:v>
                </c:pt>
                <c:pt idx="381">
                  <c:v>45308</c:v>
                </c:pt>
                <c:pt idx="382">
                  <c:v>45309</c:v>
                </c:pt>
                <c:pt idx="383">
                  <c:v>45310</c:v>
                </c:pt>
                <c:pt idx="384">
                  <c:v>45311</c:v>
                </c:pt>
                <c:pt idx="385">
                  <c:v>45312</c:v>
                </c:pt>
                <c:pt idx="386">
                  <c:v>45313</c:v>
                </c:pt>
                <c:pt idx="387">
                  <c:v>45314</c:v>
                </c:pt>
                <c:pt idx="388">
                  <c:v>45315</c:v>
                </c:pt>
                <c:pt idx="389">
                  <c:v>45316</c:v>
                </c:pt>
                <c:pt idx="390">
                  <c:v>45317</c:v>
                </c:pt>
                <c:pt idx="391">
                  <c:v>45318</c:v>
                </c:pt>
                <c:pt idx="392">
                  <c:v>45319</c:v>
                </c:pt>
                <c:pt idx="393">
                  <c:v>45320</c:v>
                </c:pt>
                <c:pt idx="394">
                  <c:v>45321</c:v>
                </c:pt>
                <c:pt idx="395">
                  <c:v>45322</c:v>
                </c:pt>
                <c:pt idx="396">
                  <c:v>45323</c:v>
                </c:pt>
                <c:pt idx="397">
                  <c:v>45324</c:v>
                </c:pt>
                <c:pt idx="398">
                  <c:v>45325</c:v>
                </c:pt>
                <c:pt idx="399">
                  <c:v>45326</c:v>
                </c:pt>
                <c:pt idx="400">
                  <c:v>45327</c:v>
                </c:pt>
                <c:pt idx="401">
                  <c:v>45328</c:v>
                </c:pt>
                <c:pt idx="402">
                  <c:v>45329</c:v>
                </c:pt>
                <c:pt idx="403">
                  <c:v>45330</c:v>
                </c:pt>
                <c:pt idx="404">
                  <c:v>45331</c:v>
                </c:pt>
                <c:pt idx="405">
                  <c:v>45332</c:v>
                </c:pt>
                <c:pt idx="406">
                  <c:v>45333</c:v>
                </c:pt>
                <c:pt idx="407">
                  <c:v>45334</c:v>
                </c:pt>
                <c:pt idx="408">
                  <c:v>45335</c:v>
                </c:pt>
                <c:pt idx="409">
                  <c:v>45336</c:v>
                </c:pt>
                <c:pt idx="410">
                  <c:v>45337</c:v>
                </c:pt>
                <c:pt idx="411">
                  <c:v>45338</c:v>
                </c:pt>
                <c:pt idx="412">
                  <c:v>45339</c:v>
                </c:pt>
                <c:pt idx="413">
                  <c:v>45340</c:v>
                </c:pt>
                <c:pt idx="414">
                  <c:v>45341</c:v>
                </c:pt>
                <c:pt idx="415">
                  <c:v>45342</c:v>
                </c:pt>
                <c:pt idx="416">
                  <c:v>45343</c:v>
                </c:pt>
                <c:pt idx="417">
                  <c:v>45344</c:v>
                </c:pt>
                <c:pt idx="418">
                  <c:v>45345</c:v>
                </c:pt>
                <c:pt idx="419">
                  <c:v>45346</c:v>
                </c:pt>
                <c:pt idx="420">
                  <c:v>45347</c:v>
                </c:pt>
                <c:pt idx="421">
                  <c:v>45348</c:v>
                </c:pt>
                <c:pt idx="422">
                  <c:v>45349</c:v>
                </c:pt>
                <c:pt idx="423">
                  <c:v>45350</c:v>
                </c:pt>
                <c:pt idx="424">
                  <c:v>45351</c:v>
                </c:pt>
                <c:pt idx="425">
                  <c:v>45352</c:v>
                </c:pt>
                <c:pt idx="426">
                  <c:v>45353</c:v>
                </c:pt>
                <c:pt idx="427">
                  <c:v>45354</c:v>
                </c:pt>
                <c:pt idx="428">
                  <c:v>45355</c:v>
                </c:pt>
                <c:pt idx="429">
                  <c:v>45356</c:v>
                </c:pt>
                <c:pt idx="430">
                  <c:v>45357</c:v>
                </c:pt>
                <c:pt idx="431">
                  <c:v>45358</c:v>
                </c:pt>
                <c:pt idx="432">
                  <c:v>45359</c:v>
                </c:pt>
                <c:pt idx="433">
                  <c:v>45360</c:v>
                </c:pt>
                <c:pt idx="434">
                  <c:v>45361</c:v>
                </c:pt>
                <c:pt idx="435">
                  <c:v>45362</c:v>
                </c:pt>
                <c:pt idx="436">
                  <c:v>45363</c:v>
                </c:pt>
                <c:pt idx="437">
                  <c:v>45364</c:v>
                </c:pt>
                <c:pt idx="438">
                  <c:v>45365</c:v>
                </c:pt>
                <c:pt idx="439">
                  <c:v>45366</c:v>
                </c:pt>
                <c:pt idx="440">
                  <c:v>45367</c:v>
                </c:pt>
                <c:pt idx="441">
                  <c:v>45368</c:v>
                </c:pt>
                <c:pt idx="442">
                  <c:v>45369</c:v>
                </c:pt>
                <c:pt idx="443">
                  <c:v>45370</c:v>
                </c:pt>
                <c:pt idx="444">
                  <c:v>45371</c:v>
                </c:pt>
                <c:pt idx="445">
                  <c:v>45372</c:v>
                </c:pt>
                <c:pt idx="446">
                  <c:v>45373</c:v>
                </c:pt>
                <c:pt idx="447">
                  <c:v>45374</c:v>
                </c:pt>
                <c:pt idx="448">
                  <c:v>45375</c:v>
                </c:pt>
                <c:pt idx="449">
                  <c:v>45376</c:v>
                </c:pt>
                <c:pt idx="450">
                  <c:v>45377</c:v>
                </c:pt>
                <c:pt idx="451">
                  <c:v>45378</c:v>
                </c:pt>
                <c:pt idx="452">
                  <c:v>45379</c:v>
                </c:pt>
                <c:pt idx="453">
                  <c:v>45380</c:v>
                </c:pt>
                <c:pt idx="454">
                  <c:v>45381</c:v>
                </c:pt>
                <c:pt idx="455">
                  <c:v>45382</c:v>
                </c:pt>
                <c:pt idx="456">
                  <c:v>45383</c:v>
                </c:pt>
                <c:pt idx="457">
                  <c:v>45384</c:v>
                </c:pt>
                <c:pt idx="458">
                  <c:v>45385</c:v>
                </c:pt>
                <c:pt idx="459">
                  <c:v>45386</c:v>
                </c:pt>
                <c:pt idx="460">
                  <c:v>45387</c:v>
                </c:pt>
                <c:pt idx="461">
                  <c:v>45388</c:v>
                </c:pt>
                <c:pt idx="462">
                  <c:v>45389</c:v>
                </c:pt>
                <c:pt idx="463">
                  <c:v>45390</c:v>
                </c:pt>
                <c:pt idx="464">
                  <c:v>45391</c:v>
                </c:pt>
                <c:pt idx="465">
                  <c:v>45392</c:v>
                </c:pt>
                <c:pt idx="466">
                  <c:v>45393</c:v>
                </c:pt>
                <c:pt idx="467">
                  <c:v>45394</c:v>
                </c:pt>
                <c:pt idx="468">
                  <c:v>45395</c:v>
                </c:pt>
                <c:pt idx="469">
                  <c:v>45396</c:v>
                </c:pt>
                <c:pt idx="470">
                  <c:v>45397</c:v>
                </c:pt>
                <c:pt idx="471">
                  <c:v>45398</c:v>
                </c:pt>
                <c:pt idx="472">
                  <c:v>45399</c:v>
                </c:pt>
                <c:pt idx="473">
                  <c:v>45400</c:v>
                </c:pt>
                <c:pt idx="474">
                  <c:v>45401</c:v>
                </c:pt>
                <c:pt idx="475">
                  <c:v>45402</c:v>
                </c:pt>
                <c:pt idx="476">
                  <c:v>45403</c:v>
                </c:pt>
                <c:pt idx="477">
                  <c:v>45404</c:v>
                </c:pt>
                <c:pt idx="478">
                  <c:v>45405</c:v>
                </c:pt>
                <c:pt idx="479">
                  <c:v>45406</c:v>
                </c:pt>
                <c:pt idx="480">
                  <c:v>45407</c:v>
                </c:pt>
                <c:pt idx="481">
                  <c:v>45408</c:v>
                </c:pt>
                <c:pt idx="482">
                  <c:v>45409</c:v>
                </c:pt>
                <c:pt idx="483">
                  <c:v>45410</c:v>
                </c:pt>
              </c:numCache>
            </c:numRef>
          </c:cat>
          <c:val>
            <c:numRef>
              <c:f>forecast_chart!$E$2:$E$485</c:f>
              <c:numCache>
                <c:formatCode>General</c:formatCode>
                <c:ptCount val="484"/>
                <c:pt idx="386" formatCode="0.00">
                  <c:v>353.464221248873</c:v>
                </c:pt>
                <c:pt idx="387" formatCode="0.00">
                  <c:v>597.08717460065554</c:v>
                </c:pt>
                <c:pt idx="388" formatCode="0.00">
                  <c:v>598.32942148692212</c:v>
                </c:pt>
                <c:pt idx="389" formatCode="0.00">
                  <c:v>599.58990390506335</c:v>
                </c:pt>
                <c:pt idx="390" formatCode="0.00">
                  <c:v>600.86858364900888</c:v>
                </c:pt>
                <c:pt idx="391" formatCode="0.00">
                  <c:v>602.16541929644609</c:v>
                </c:pt>
                <c:pt idx="392" formatCode="0.00">
                  <c:v>603.48036632101343</c:v>
                </c:pt>
                <c:pt idx="393" formatCode="0.00">
                  <c:v>604.81337720432396</c:v>
                </c:pt>
                <c:pt idx="394" formatCode="0.00">
                  <c:v>606.16440154767361</c:v>
                </c:pt>
                <c:pt idx="395" formatCode="0.00">
                  <c:v>607.53338618322312</c:v>
                </c:pt>
                <c:pt idx="396" formatCode="0.00">
                  <c:v>608.92027528452547</c:v>
                </c:pt>
                <c:pt idx="397" formatCode="0.00">
                  <c:v>610.32501047620303</c:v>
                </c:pt>
                <c:pt idx="398" formatCode="0.00">
                  <c:v>611.74753094266407</c:v>
                </c:pt>
                <c:pt idx="399" formatCode="0.00">
                  <c:v>613.18777353568044</c:v>
                </c:pt>
                <c:pt idx="400" formatCode="0.00">
                  <c:v>614.64567288073204</c:v>
                </c:pt>
                <c:pt idx="401" formatCode="0.00">
                  <c:v>616.12116148195923</c:v>
                </c:pt>
                <c:pt idx="402" formatCode="0.00">
                  <c:v>617.61416982564424</c:v>
                </c:pt>
                <c:pt idx="403" formatCode="0.00">
                  <c:v>619.12462648208157</c:v>
                </c:pt>
                <c:pt idx="404" formatCode="0.00">
                  <c:v>620.65245820577547</c:v>
                </c:pt>
                <c:pt idx="405" formatCode="0.00">
                  <c:v>622.19759003383865</c:v>
                </c:pt>
                <c:pt idx="406" formatCode="0.00">
                  <c:v>623.75994538255168</c:v>
                </c:pt>
                <c:pt idx="407" formatCode="0.00">
                  <c:v>625.33944614196889</c:v>
                </c:pt>
                <c:pt idx="408" formatCode="0.00">
                  <c:v>626.93601276854918</c:v>
                </c:pt>
                <c:pt idx="409" formatCode="0.00">
                  <c:v>628.54956437571173</c:v>
                </c:pt>
                <c:pt idx="410" formatCode="0.00">
                  <c:v>630.18001882230806</c:v>
                </c:pt>
                <c:pt idx="411" formatCode="0.00">
                  <c:v>631.82729279893044</c:v>
                </c:pt>
                <c:pt idx="412" formatCode="0.00">
                  <c:v>633.49130191205518</c:v>
                </c:pt>
                <c:pt idx="413" formatCode="0.00">
                  <c:v>635.17196076595849</c:v>
                </c:pt>
                <c:pt idx="414" formatCode="0.00">
                  <c:v>636.86918304241567</c:v>
                </c:pt>
                <c:pt idx="415" formatCode="0.00">
                  <c:v>638.58288157813229</c:v>
                </c:pt>
                <c:pt idx="416" formatCode="0.00">
                  <c:v>640.31296843993016</c:v>
                </c:pt>
                <c:pt idx="417" formatCode="0.00">
                  <c:v>642.05935499764928</c:v>
                </c:pt>
                <c:pt idx="418" formatCode="0.00">
                  <c:v>643.82195199479634</c:v>
                </c:pt>
                <c:pt idx="419" formatCode="0.00">
                  <c:v>645.60066961691314</c:v>
                </c:pt>
                <c:pt idx="420" formatCode="0.00">
                  <c:v>647.39541755770324</c:v>
                </c:pt>
                <c:pt idx="421" formatCode="0.00">
                  <c:v>649.20610508289974</c:v>
                </c:pt>
                <c:pt idx="422" formatCode="0.00">
                  <c:v>651.03264109192014</c:v>
                </c:pt>
                <c:pt idx="423" formatCode="0.00">
                  <c:v>652.87493417729809</c:v>
                </c:pt>
                <c:pt idx="424" formatCode="0.00">
                  <c:v>654.73289268194731</c:v>
                </c:pt>
                <c:pt idx="425" formatCode="0.00">
                  <c:v>656.60642475424959</c:v>
                </c:pt>
                <c:pt idx="426" formatCode="0.00">
                  <c:v>658.49543840103263</c:v>
                </c:pt>
                <c:pt idx="427" formatCode="0.00">
                  <c:v>660.39984153843193</c:v>
                </c:pt>
                <c:pt idx="428" formatCode="0.00">
                  <c:v>662.31954204070826</c:v>
                </c:pt>
                <c:pt idx="429" formatCode="0.00">
                  <c:v>664.25444778701899</c:v>
                </c:pt>
                <c:pt idx="430" formatCode="0.00">
                  <c:v>666.20446670621982</c:v>
                </c:pt>
                <c:pt idx="431" formatCode="0.00">
                  <c:v>668.16950681969684</c:v>
                </c:pt>
                <c:pt idx="432" formatCode="0.00">
                  <c:v>670.14947628230993</c:v>
                </c:pt>
                <c:pt idx="433" formatCode="0.00">
                  <c:v>672.14428342145015</c:v>
                </c:pt>
                <c:pt idx="434" formatCode="0.00">
                  <c:v>674.15383677429168</c:v>
                </c:pt>
                <c:pt idx="435" formatCode="0.00">
                  <c:v>676.17804512324778</c:v>
                </c:pt>
                <c:pt idx="436" formatCode="0.00">
                  <c:v>678.21681752970846</c:v>
                </c:pt>
                <c:pt idx="437" formatCode="0.00">
                  <c:v>680.27006336607155</c:v>
                </c:pt>
                <c:pt idx="438" formatCode="0.00">
                  <c:v>682.33769234614829</c:v>
                </c:pt>
                <c:pt idx="439" formatCode="0.00">
                  <c:v>684.41961455395256</c:v>
                </c:pt>
                <c:pt idx="440" formatCode="0.00">
                  <c:v>686.51574047095721</c:v>
                </c:pt>
                <c:pt idx="441" formatCode="0.00">
                  <c:v>688.62598100182527</c:v>
                </c:pt>
                <c:pt idx="442" formatCode="0.00">
                  <c:v>690.75024749870113</c:v>
                </c:pt>
                <c:pt idx="443" formatCode="0.00">
                  <c:v>692.88845178406859</c:v>
                </c:pt>
                <c:pt idx="444" formatCode="0.00">
                  <c:v>695.04050617225914</c:v>
                </c:pt>
                <c:pt idx="445" formatCode="0.00">
                  <c:v>697.20632348961794</c:v>
                </c:pt>
                <c:pt idx="446" formatCode="0.00">
                  <c:v>699.3858170934102</c:v>
                </c:pt>
                <c:pt idx="447" formatCode="0.00">
                  <c:v>701.57890088947397</c:v>
                </c:pt>
                <c:pt idx="448" formatCode="0.00">
                  <c:v>703.78548934869991</c:v>
                </c:pt>
                <c:pt idx="449" formatCode="0.00">
                  <c:v>706.00549752234633</c:v>
                </c:pt>
                <c:pt idx="450" formatCode="0.00">
                  <c:v>708.23884105626303</c:v>
                </c:pt>
                <c:pt idx="451" formatCode="0.00">
                  <c:v>710.4854362040362</c:v>
                </c:pt>
                <c:pt idx="452" formatCode="0.00">
                  <c:v>712.74519983912433</c:v>
                </c:pt>
                <c:pt idx="453" formatCode="0.00">
                  <c:v>715.01804946599384</c:v>
                </c:pt>
                <c:pt idx="454" formatCode="0.00">
                  <c:v>717.3039032303268</c:v>
                </c:pt>
                <c:pt idx="455" formatCode="0.00">
                  <c:v>719.6026799283045</c:v>
                </c:pt>
                <c:pt idx="456" formatCode="0.00">
                  <c:v>721.91429901503807</c:v>
                </c:pt>
                <c:pt idx="457" formatCode="0.00">
                  <c:v>724.23868061214796</c:v>
                </c:pt>
                <c:pt idx="458" formatCode="0.00">
                  <c:v>726.5757455145656</c:v>
                </c:pt>
                <c:pt idx="459" formatCode="0.00">
                  <c:v>728.92541519655038</c:v>
                </c:pt>
                <c:pt idx="460" formatCode="0.00">
                  <c:v>731.28761181699588</c:v>
                </c:pt>
                <c:pt idx="461" formatCode="0.00">
                  <c:v>733.66225822402316</c:v>
                </c:pt>
                <c:pt idx="462" formatCode="0.00">
                  <c:v>736.04927795892172</c:v>
                </c:pt>
                <c:pt idx="463" formatCode="0.00">
                  <c:v>738.4485952594423</c:v>
                </c:pt>
                <c:pt idx="464" formatCode="0.00">
                  <c:v>740.86013506249958</c:v>
                </c:pt>
                <c:pt idx="465" formatCode="0.00">
                  <c:v>743.28382300628164</c:v>
                </c:pt>
                <c:pt idx="466" formatCode="0.00">
                  <c:v>745.71958543182973</c:v>
                </c:pt>
                <c:pt idx="467" formatCode="0.00">
                  <c:v>748.16734938407717</c:v>
                </c:pt>
                <c:pt idx="468" formatCode="0.00">
                  <c:v>750.62704261241322</c:v>
                </c:pt>
                <c:pt idx="469" formatCode="0.00">
                  <c:v>753.098593570758</c:v>
                </c:pt>
                <c:pt idx="470" formatCode="0.00">
                  <c:v>755.58193141720983</c:v>
                </c:pt>
                <c:pt idx="471" formatCode="0.00">
                  <c:v>758.07698601325342</c:v>
                </c:pt>
                <c:pt idx="472" formatCode="0.00">
                  <c:v>760.58368792258625</c:v>
                </c:pt>
                <c:pt idx="473" formatCode="0.00">
                  <c:v>763.10196840955018</c:v>
                </c:pt>
                <c:pt idx="474" formatCode="0.00">
                  <c:v>765.63175943722376</c:v>
                </c:pt>
                <c:pt idx="475" formatCode="0.00">
                  <c:v>768.17299366516193</c:v>
                </c:pt>
                <c:pt idx="476" formatCode="0.00">
                  <c:v>770.72560444683586</c:v>
                </c:pt>
                <c:pt idx="477" formatCode="0.00">
                  <c:v>773.28952582675799</c:v>
                </c:pt>
                <c:pt idx="478" formatCode="0.00">
                  <c:v>775.86469253734401</c:v>
                </c:pt>
                <c:pt idx="479" formatCode="0.00">
                  <c:v>778.45103999549542</c:v>
                </c:pt>
                <c:pt idx="480" formatCode="0.00">
                  <c:v>781.04850429895419</c:v>
                </c:pt>
                <c:pt idx="481" formatCode="0.00">
                  <c:v>783.65702222240748</c:v>
                </c:pt>
                <c:pt idx="482" formatCode="0.00">
                  <c:v>786.2765312133979</c:v>
                </c:pt>
                <c:pt idx="483" formatCode="0.00">
                  <c:v>788.9069693880142</c:v>
                </c:pt>
              </c:numCache>
            </c:numRef>
          </c:val>
          <c:smooth val="0"/>
          <c:extLst>
            <c:ext xmlns:c16="http://schemas.microsoft.com/office/drawing/2014/chart" uri="{C3380CC4-5D6E-409C-BE32-E72D297353CC}">
              <c16:uniqueId val="{00000003-0FFF-4471-A08A-843D2C8ABA30}"/>
            </c:ext>
          </c:extLst>
        </c:ser>
        <c:dLbls>
          <c:showLegendKey val="0"/>
          <c:showVal val="0"/>
          <c:showCatName val="0"/>
          <c:showSerName val="0"/>
          <c:showPercent val="0"/>
          <c:showBubbleSize val="0"/>
        </c:dLbls>
        <c:smooth val="0"/>
        <c:axId val="893730400"/>
        <c:axId val="893737888"/>
      </c:lineChart>
      <c:catAx>
        <c:axId val="893730400"/>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3737888"/>
        <c:crosses val="autoZero"/>
        <c:auto val="1"/>
        <c:lblAlgn val="ctr"/>
        <c:lblOffset val="100"/>
        <c:noMultiLvlLbl val="0"/>
      </c:catAx>
      <c:valAx>
        <c:axId val="893737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3730400"/>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4</xdr:col>
      <xdr:colOff>0</xdr:colOff>
      <xdr:row>2</xdr:row>
      <xdr:rowOff>0</xdr:rowOff>
    </xdr:from>
    <xdr:to>
      <xdr:col>14</xdr:col>
      <xdr:colOff>4764</xdr:colOff>
      <xdr:row>17</xdr:row>
      <xdr:rowOff>180976</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581025</xdr:colOff>
      <xdr:row>1</xdr:row>
      <xdr:rowOff>171450</xdr:rowOff>
    </xdr:from>
    <xdr:to>
      <xdr:col>11</xdr:col>
      <xdr:colOff>576263</xdr:colOff>
      <xdr:row>18</xdr:row>
      <xdr:rowOff>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607978</xdr:colOff>
      <xdr:row>0</xdr:row>
      <xdr:rowOff>182394</xdr:rowOff>
    </xdr:from>
    <xdr:to>
      <xdr:col>12</xdr:col>
      <xdr:colOff>31716</xdr:colOff>
      <xdr:row>17</xdr:row>
      <xdr:rowOff>10944</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2</xdr:row>
      <xdr:rowOff>0</xdr:rowOff>
    </xdr:from>
    <xdr:to>
      <xdr:col>11</xdr:col>
      <xdr:colOff>604838</xdr:colOff>
      <xdr:row>18</xdr:row>
      <xdr:rowOff>171450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1</xdr:row>
      <xdr:rowOff>180975</xdr:rowOff>
    </xdr:from>
    <xdr:to>
      <xdr:col>12</xdr:col>
      <xdr:colOff>585788</xdr:colOff>
      <xdr:row>18</xdr:row>
      <xdr:rowOff>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537794</xdr:colOff>
      <xdr:row>29</xdr:row>
      <xdr:rowOff>171587</xdr:rowOff>
    </xdr:from>
    <xdr:to>
      <xdr:col>8</xdr:col>
      <xdr:colOff>547181</xdr:colOff>
      <xdr:row>45</xdr:row>
      <xdr:rowOff>127429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162128</xdr:colOff>
      <xdr:row>13</xdr:row>
      <xdr:rowOff>48847</xdr:rowOff>
    </xdr:from>
    <xdr:to>
      <xdr:col>16</xdr:col>
      <xdr:colOff>1</xdr:colOff>
      <xdr:row>28</xdr:row>
      <xdr:rowOff>40533</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576800</xdr:colOff>
      <xdr:row>13</xdr:row>
      <xdr:rowOff>73269</xdr:rowOff>
    </xdr:from>
    <xdr:to>
      <xdr:col>8</xdr:col>
      <xdr:colOff>0</xdr:colOff>
      <xdr:row>28</xdr:row>
      <xdr:rowOff>20266</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60798</xdr:colOff>
      <xdr:row>29</xdr:row>
      <xdr:rowOff>0</xdr:rowOff>
    </xdr:from>
    <xdr:to>
      <xdr:col>15</xdr:col>
      <xdr:colOff>587713</xdr:colOff>
      <xdr:row>45</xdr:row>
      <xdr:rowOff>162127</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567445</xdr:colOff>
      <xdr:row>47</xdr:row>
      <xdr:rowOff>101330</xdr:rowOff>
    </xdr:from>
    <xdr:to>
      <xdr:col>19</xdr:col>
      <xdr:colOff>336176</xdr:colOff>
      <xdr:row>64</xdr:row>
      <xdr:rowOff>63954</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251955</xdr:colOff>
      <xdr:row>13</xdr:row>
      <xdr:rowOff>59737</xdr:rowOff>
    </xdr:from>
    <xdr:to>
      <xdr:col>19</xdr:col>
      <xdr:colOff>173881</xdr:colOff>
      <xdr:row>30</xdr:row>
      <xdr:rowOff>84535</xdr:rowOff>
    </xdr:to>
    <mc:AlternateContent xmlns:mc="http://schemas.openxmlformats.org/markup-compatibility/2006" xmlns:a14="http://schemas.microsoft.com/office/drawing/2010/main">
      <mc:Choice Requires="a14">
        <xdr:graphicFrame macro="">
          <xdr:nvGraphicFramePr>
            <xdr:cNvPr id="8"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378534" y="2666579"/>
              <a:ext cx="1726663" cy="34337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225036</xdr:colOff>
      <xdr:row>32</xdr:row>
      <xdr:rowOff>46846</xdr:rowOff>
    </xdr:from>
    <xdr:to>
      <xdr:col>19</xdr:col>
      <xdr:colOff>226910</xdr:colOff>
      <xdr:row>45</xdr:row>
      <xdr:rowOff>135069</xdr:rowOff>
    </xdr:to>
    <mc:AlternateContent xmlns:mc="http://schemas.openxmlformats.org/markup-compatibility/2006" xmlns:a14="http://schemas.microsoft.com/office/drawing/2010/main">
      <mc:Choice Requires="a14">
        <xdr:graphicFrame macro="">
          <xdr:nvGraphicFramePr>
            <xdr:cNvPr id="9"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351615" y="6463688"/>
              <a:ext cx="1806611" cy="26950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0</xdr:row>
      <xdr:rowOff>190499</xdr:rowOff>
    </xdr:from>
    <xdr:to>
      <xdr:col>14</xdr:col>
      <xdr:colOff>276225</xdr:colOff>
      <xdr:row>20</xdr:row>
      <xdr:rowOff>180974</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6280.799602893516" createdVersion="6" refreshedVersion="6" minRefreshableVersion="3" recordCount="1825">
  <cacheSource type="worksheet">
    <worksheetSource name="RetailSales"/>
  </cacheSource>
  <cacheFields count="6">
    <cacheField name="Date" numFmtId="0">
      <sharedItems containsDate="1" containsMixedTypes="1" minDate="2023-01-01T00:00:00" maxDate="2023-12-13T00:00:00" count="365">
        <d v="2023-01-01T00:00:00"/>
        <d v="2023-02-01T00:00:00"/>
        <d v="2023-03-01T00:00:00"/>
        <d v="2023-04-01T00:00:00"/>
        <d v="2023-05-01T00:00:00"/>
        <d v="2023-06-01T00:00:00"/>
        <d v="2023-07-01T00:00:00"/>
        <d v="2023-08-01T00:00:00"/>
        <d v="2023-09-01T00:00:00"/>
        <d v="2023-10-01T00:00:00"/>
        <d v="2023-11-01T00:00:00"/>
        <d v="2023-12-01T00:00:00"/>
        <s v="1/13/2023"/>
        <s v="1/14/2023"/>
        <s v="1/15/2023"/>
        <s v="1/16/2023"/>
        <s v="1/17/2023"/>
        <s v="1/18/2023"/>
        <s v="1/19/2023"/>
        <s v="1/20/2023"/>
        <s v="1/21/2023"/>
        <s v="1/22/2023"/>
        <s v="1/23/2023"/>
        <s v="1/24/2023"/>
        <s v="1/25/2023"/>
        <s v="1/26/2023"/>
        <s v="1/27/2023"/>
        <s v="1/28/2023"/>
        <s v="1/29/2023"/>
        <s v="1/30/2023"/>
        <s v="1/31/2023"/>
        <d v="2023-01-02T00:00:00"/>
        <d v="2023-02-02T00:00:00"/>
        <d v="2023-03-02T00:00:00"/>
        <d v="2023-04-02T00:00:00"/>
        <d v="2023-05-02T00:00:00"/>
        <d v="2023-06-02T00:00:00"/>
        <d v="2023-07-02T00:00:00"/>
        <d v="2023-08-02T00:00:00"/>
        <d v="2023-09-02T00:00:00"/>
        <d v="2023-10-02T00:00:00"/>
        <d v="2023-11-02T00:00:00"/>
        <d v="2023-12-02T00:00:00"/>
        <s v="2/13/2023"/>
        <s v="2/14/2023"/>
        <s v="2/15/2023"/>
        <s v="2/16/2023"/>
        <s v="2/17/2023"/>
        <s v="2/18/2023"/>
        <s v="2/19/2023"/>
        <s v="2/20/2023"/>
        <s v="2/21/2023"/>
        <s v="2/22/2023"/>
        <s v="2/23/2023"/>
        <s v="2/24/2023"/>
        <s v="2/25/2023"/>
        <s v="2/26/2023"/>
        <s v="2/27/2023"/>
        <s v="2/28/2023"/>
        <d v="2023-01-03T00:00:00"/>
        <d v="2023-02-03T00:00:00"/>
        <d v="2023-03-03T00:00:00"/>
        <d v="2023-04-03T00:00:00"/>
        <d v="2023-05-03T00:00:00"/>
        <d v="2023-06-03T00:00:00"/>
        <d v="2023-07-03T00:00:00"/>
        <d v="2023-08-03T00:00:00"/>
        <d v="2023-09-03T00:00:00"/>
        <d v="2023-10-03T00:00:00"/>
        <d v="2023-11-03T00:00:00"/>
        <d v="2023-12-03T00:00:00"/>
        <s v="3/13/2023"/>
        <s v="3/14/2023"/>
        <s v="3/15/2023"/>
        <s v="3/16/2023"/>
        <s v="3/17/2023"/>
        <s v="3/18/2023"/>
        <s v="3/19/2023"/>
        <s v="3/20/2023"/>
        <s v="3/21/2023"/>
        <s v="3/22/2023"/>
        <s v="3/23/2023"/>
        <s v="3/24/2023"/>
        <s v="3/25/2023"/>
        <s v="3/26/2023"/>
        <s v="3/27/2023"/>
        <s v="3/28/2023"/>
        <s v="3/29/2023"/>
        <s v="3/30/2023"/>
        <s v="3/31/2023"/>
        <d v="2023-01-04T00:00:00"/>
        <d v="2023-02-04T00:00:00"/>
        <d v="2023-03-04T00:00:00"/>
        <d v="2023-04-04T00:00:00"/>
        <d v="2023-05-04T00:00:00"/>
        <d v="2023-06-04T00:00:00"/>
        <d v="2023-07-04T00:00:00"/>
        <d v="2023-08-04T00:00:00"/>
        <d v="2023-09-04T00:00:00"/>
        <d v="2023-10-04T00:00:00"/>
        <d v="2023-11-04T00:00:00"/>
        <d v="2023-12-04T00:00:00"/>
        <s v="4/13/2023"/>
        <s v="4/14/2023"/>
        <s v="4/15/2023"/>
        <s v="4/16/2023"/>
        <s v="4/17/2023"/>
        <s v="4/18/2023"/>
        <s v="4/19/2023"/>
        <s v="4/20/2023"/>
        <s v="4/21/2023"/>
        <s v="4/22/2023"/>
        <s v="4/23/2023"/>
        <s v="4/24/2023"/>
        <s v="4/25/2023"/>
        <s v="4/26/2023"/>
        <s v="4/27/2023"/>
        <s v="4/28/2023"/>
        <s v="4/29/2023"/>
        <s v="4/30/2023"/>
        <d v="2023-01-05T00:00:00"/>
        <d v="2023-02-05T00:00:00"/>
        <d v="2023-03-05T00:00:00"/>
        <d v="2023-04-05T00:00:00"/>
        <d v="2023-05-05T00:00:00"/>
        <d v="2023-06-05T00:00:00"/>
        <d v="2023-07-05T00:00:00"/>
        <d v="2023-08-05T00:00:00"/>
        <d v="2023-09-05T00:00:00"/>
        <d v="2023-10-05T00:00:00"/>
        <d v="2023-11-05T00:00:00"/>
        <d v="2023-12-05T00:00:00"/>
        <s v="5/13/2023"/>
        <s v="5/14/2023"/>
        <s v="5/15/2023"/>
        <s v="5/16/2023"/>
        <s v="5/17/2023"/>
        <s v="5/18/2023"/>
        <s v="5/19/2023"/>
        <s v="5/20/2023"/>
        <s v="5/21/2023"/>
        <s v="5/22/2023"/>
        <s v="5/23/2023"/>
        <s v="5/24/2023"/>
        <s v="5/25/2023"/>
        <s v="5/26/2023"/>
        <s v="5/27/2023"/>
        <s v="5/28/2023"/>
        <s v="5/29/2023"/>
        <s v="5/30/2023"/>
        <s v="5/31/2023"/>
        <d v="2023-01-06T00:00:00"/>
        <d v="2023-02-06T00:00:00"/>
        <d v="2023-03-06T00:00:00"/>
        <d v="2023-04-06T00:00:00"/>
        <d v="2023-05-06T00:00:00"/>
        <d v="2023-06-06T00:00:00"/>
        <d v="2023-07-06T00:00:00"/>
        <d v="2023-08-06T00:00:00"/>
        <d v="2023-09-06T00:00:00"/>
        <d v="2023-10-06T00:00:00"/>
        <d v="2023-11-06T00:00:00"/>
        <d v="2023-12-06T00:00:00"/>
        <s v="6/13/2023"/>
        <s v="6/14/2023"/>
        <s v="6/15/2023"/>
        <s v="6/16/2023"/>
        <s v="6/17/2023"/>
        <s v="6/18/2023"/>
        <s v="6/19/2023"/>
        <s v="6/20/2023"/>
        <s v="6/21/2023"/>
        <s v="6/22/2023"/>
        <s v="6/23/2023"/>
        <s v="6/24/2023"/>
        <s v="6/25/2023"/>
        <s v="6/26/2023"/>
        <s v="6/27/2023"/>
        <s v="6/28/2023"/>
        <s v="6/29/2023"/>
        <s v="6/30/2023"/>
        <d v="2023-01-07T00:00:00"/>
        <d v="2023-02-07T00:00:00"/>
        <d v="2023-03-07T00:00:00"/>
        <d v="2023-04-07T00:00:00"/>
        <d v="2023-05-07T00:00:00"/>
        <d v="2023-06-07T00:00:00"/>
        <d v="2023-07-07T00:00:00"/>
        <d v="2023-08-07T00:00:00"/>
        <d v="2023-09-07T00:00:00"/>
        <d v="2023-10-07T00:00:00"/>
        <d v="2023-11-07T00:00:00"/>
        <d v="2023-12-07T00:00:00"/>
        <s v="7/13/2023"/>
        <s v="7/14/2023"/>
        <s v="7/15/2023"/>
        <s v="7/16/2023"/>
        <s v="7/17/2023"/>
        <s v="7/18/2023"/>
        <s v="7/19/2023"/>
        <s v="7/20/2023"/>
        <s v="7/21/2023"/>
        <s v="7/22/2023"/>
        <s v="7/23/2023"/>
        <s v="7/24/2023"/>
        <s v="7/25/2023"/>
        <s v="7/26/2023"/>
        <s v="7/27/2023"/>
        <s v="7/28/2023"/>
        <s v="7/29/2023"/>
        <s v="7/30/2023"/>
        <s v="7/31/2023"/>
        <d v="2023-01-08T00:00:00"/>
        <d v="2023-02-08T00:00:00"/>
        <d v="2023-03-08T00:00:00"/>
        <d v="2023-04-08T00:00:00"/>
        <d v="2023-05-08T00:00:00"/>
        <d v="2023-06-08T00:00:00"/>
        <d v="2023-07-08T00:00:00"/>
        <d v="2023-08-08T00:00:00"/>
        <d v="2023-09-08T00:00:00"/>
        <d v="2023-10-08T00:00:00"/>
        <d v="2023-11-08T00:00:00"/>
        <d v="2023-12-08T00:00:00"/>
        <s v="8/13/2023"/>
        <s v="8/14/2023"/>
        <s v="8/15/2023"/>
        <s v="8/16/2023"/>
        <s v="8/17/2023"/>
        <s v="8/18/2023"/>
        <s v="8/19/2023"/>
        <s v="8/20/2023"/>
        <s v="8/21/2023"/>
        <s v="8/22/2023"/>
        <s v="8/23/2023"/>
        <s v="8/24/2023"/>
        <s v="8/25/2023"/>
        <s v="8/26/2023"/>
        <s v="8/27/2023"/>
        <s v="8/28/2023"/>
        <s v="8/29/2023"/>
        <s v="8/30/2023"/>
        <s v="8/31/2023"/>
        <d v="2023-01-09T00:00:00"/>
        <d v="2023-02-09T00:00:00"/>
        <d v="2023-03-09T00:00:00"/>
        <d v="2023-04-09T00:00:00"/>
        <d v="2023-05-09T00:00:00"/>
        <d v="2023-06-09T00:00:00"/>
        <d v="2023-07-09T00:00:00"/>
        <d v="2023-08-09T00:00:00"/>
        <d v="2023-09-09T00:00:00"/>
        <d v="2023-10-09T00:00:00"/>
        <d v="2023-11-09T00:00:00"/>
        <d v="2023-12-09T00:00:00"/>
        <s v="9/13/2023"/>
        <s v="9/14/2023"/>
        <s v="9/15/2023"/>
        <s v="9/16/2023"/>
        <s v="9/17/2023"/>
        <s v="9/18/2023"/>
        <s v="9/19/2023"/>
        <s v="9/20/2023"/>
        <s v="9/21/2023"/>
        <s v="9/22/2023"/>
        <s v="9/23/2023"/>
        <s v="9/24/2023"/>
        <s v="9/25/2023"/>
        <s v="9/26/2023"/>
        <s v="9/27/2023"/>
        <s v="9/28/2023"/>
        <s v="9/29/2023"/>
        <s v="9/30/2023"/>
        <d v="2023-01-10T00:00:00"/>
        <d v="2023-02-10T00:00:00"/>
        <d v="2023-03-10T00:00:00"/>
        <d v="2023-04-10T00:00:00"/>
        <d v="2023-05-10T00:00:00"/>
        <d v="2023-06-10T00:00:00"/>
        <d v="2023-07-10T00:00:00"/>
        <d v="2023-08-10T00:00:00"/>
        <d v="2023-09-10T00:00:00"/>
        <d v="2023-10-10T00:00:00"/>
        <d v="2023-11-10T00:00:00"/>
        <d v="2023-12-10T00:00:00"/>
        <s v="10/13/2023"/>
        <s v="10/14/2023"/>
        <s v="10/15/2023"/>
        <s v="10/16/2023"/>
        <s v="10/17/2023"/>
        <s v="10/18/2023"/>
        <s v="10/19/2023"/>
        <s v="10/20/2023"/>
        <s v="10/21/2023"/>
        <s v="10/22/2023"/>
        <s v="10/23/2023"/>
        <s v="10/24/2023"/>
        <s v="10/25/2023"/>
        <s v="10/26/2023"/>
        <s v="10/27/2023"/>
        <s v="10/28/2023"/>
        <s v="10/29/2023"/>
        <s v="10/30/2023"/>
        <s v="10/31/2023"/>
        <d v="2023-01-11T00:00:00"/>
        <d v="2023-02-11T00:00:00"/>
        <d v="2023-03-11T00:00:00"/>
        <d v="2023-04-11T00:00:00"/>
        <d v="2023-05-11T00:00:00"/>
        <d v="2023-06-11T00:00:00"/>
        <d v="2023-07-11T00:00:00"/>
        <d v="2023-08-11T00:00:00"/>
        <d v="2023-09-11T00:00:00"/>
        <d v="2023-10-11T00:00:00"/>
        <d v="2023-11-11T00:00:00"/>
        <d v="2023-12-11T00:00:00"/>
        <s v="11/13/2023"/>
        <s v="11/14/2023"/>
        <s v="11/15/2023"/>
        <s v="11/16/2023"/>
        <s v="11/17/2023"/>
        <s v="11/18/2023"/>
        <s v="11/19/2023"/>
        <s v="11/20/2023"/>
        <s v="11/21/2023"/>
        <s v="11/22/2023"/>
        <s v="11/23/2023"/>
        <s v="11/24/2023"/>
        <s v="11/25/2023"/>
        <s v="11/26/2023"/>
        <s v="11/27/2023"/>
        <s v="11/28/2023"/>
        <s v="11/29/2023"/>
        <s v="11/30/2023"/>
        <d v="2023-01-12T00:00:00"/>
        <d v="2023-02-12T00:00:00"/>
        <d v="2023-03-12T00:00:00"/>
        <d v="2023-04-12T00:00:00"/>
        <d v="2023-05-12T00:00:00"/>
        <d v="2023-06-12T00:00:00"/>
        <d v="2023-07-12T00:00:00"/>
        <d v="2023-08-12T00:00:00"/>
        <d v="2023-09-12T00:00:00"/>
        <d v="2023-10-12T00:00:00"/>
        <d v="2023-11-12T00:00:00"/>
        <d v="2023-12-12T00:00:00"/>
        <s v="12/13/2023"/>
        <s v="12/14/2023"/>
        <s v="12/15/2023"/>
        <s v="12/16/2023"/>
        <s v="12/17/2023"/>
        <s v="12/18/2023"/>
        <s v="12/19/2023"/>
        <s v="12/20/2023"/>
        <s v="12/21/2023"/>
        <s v="12/22/2023"/>
        <s v="12/23/2023"/>
        <s v="12/24/2023"/>
        <s v="12/25/2023"/>
        <s v="12/26/2023"/>
        <s v="12/27/2023"/>
        <s v="12/28/2023"/>
        <s v="12/29/2023"/>
        <s v="12/30/2023"/>
        <s v="12/31/2023"/>
      </sharedItems>
    </cacheField>
    <cacheField name="Category" numFmtId="0">
      <sharedItems containsMixedTypes="1" containsNumber="1" containsInteger="1" minValue="0" maxValue="0" count="8">
        <s v="Electronics"/>
        <s v="Clothing"/>
        <s v="Home Goods"/>
        <s v="Sports"/>
        <s v="Unknown"/>
        <s v="Books"/>
        <s v="Null"/>
        <n v="0"/>
      </sharedItems>
    </cacheField>
    <cacheField name="Sales" numFmtId="0">
      <sharedItems containsMixedTypes="1" containsNumber="1" minValue="0" maxValue="1888.9325368920099"/>
    </cacheField>
    <cacheField name="Quantity" numFmtId="0">
      <sharedItems containsSemiMixedTypes="0" containsString="0" containsNumber="1" containsInteger="1" minValue="0" maxValue="19"/>
    </cacheField>
    <cacheField name="Profit" numFmtId="0">
      <sharedItems containsSemiMixedTypes="0" containsString="0" containsNumber="1" minValue="0" maxValue="703.22841779999999"/>
    </cacheField>
    <cacheField name="Region" numFmtId="0">
      <sharedItems count="5">
        <s v="North"/>
        <s v="East"/>
        <s v="South"/>
        <s v="West"/>
        <s v="Unknown"/>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saveData="0" refreshedBy="DELL" refreshedDate="46284.632980092596" backgroundQuery="1" createdVersion="6" refreshedVersion="6" minRefreshableVersion="3" recordCount="0" supportSubquery="1" supportAdvancedDrill="1">
  <cacheSource type="external" connectionId="1"/>
  <cacheFields count="2">
    <cacheField name="[Table1].[Month].[Month]" caption="Month" numFmtId="0" hierarchy="11" level="1">
      <sharedItems count="12">
        <s v="Apr"/>
        <s v="Aug"/>
        <s v="Dec"/>
        <s v="Feb"/>
        <s v="Jan"/>
        <s v="Jul"/>
        <s v="Jun"/>
        <s v="Mar"/>
        <s v="May"/>
        <s v="Nov"/>
        <s v="Oct"/>
        <s v="Sep"/>
      </sharedItems>
    </cacheField>
    <cacheField name="[Measures].[Sum of Sales]" caption="Sum of Sales" numFmtId="0" hierarchy="14" level="32767"/>
  </cacheFields>
  <cacheHierarchies count="18">
    <cacheHierarchy uniqueName="[Table1].[Date]" caption="Date" attribute="1" time="1" defaultMemberUniqueName="[Table1].[Date].[All]" allUniqueName="[Table1].[Date].[All]" dimensionUniqueName="[Table1]" displayFolder="" count="0" memberValueDatatype="7" unbalanced="0"/>
    <cacheHierarchy uniqueName="[Table1].[Category]" caption="Category" attribute="1" defaultMemberUniqueName="[Table1].[Category].[All]" allUniqueName="[Table1].[Category].[All]" dimensionUniqueName="[Table1]" displayFolder="" count="0" memberValueDatatype="130" unbalanced="0"/>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5" unbalanced="0"/>
    <cacheHierarchy uniqueName="[Table1].[Region]" caption="Region" attribute="1" defaultMemberUniqueName="[Table1].[Region].[All]" allUniqueName="[Table1].[Region].[All]" dimensionUniqueName="[Table1]" displayFolder="" count="0" memberValueDatatype="130" unbalanced="0"/>
    <cacheHierarchy uniqueName="[Table1].[Average Daily Demand]" caption="Average Daily Demand" attribute="1" defaultMemberUniqueName="[Table1].[Average Daily Demand].[All]" allUniqueName="[Table1].[Average Daily Demand].[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Standard Deviation of Demand]" caption="Standard Deviation of Demand" attribute="1" defaultMemberUniqueName="[Table1].[Standard Deviation of Demand].[All]" allUniqueName="[Table1].[Standard Deviation of Demand].[All]" dimensionUniqueName="[Table1]" displayFolder="" count="0" memberValueDatatype="5" unbalanced="0"/>
    <cacheHierarchy uniqueName="[Table1].[Safety Stock]" caption="Safety Stock" attribute="1" defaultMemberUniqueName="[Table1].[Safety Stock].[All]" allUniqueName="[Table1].[Safety Stock].[All]" dimensionUniqueName="[Table1]" displayFolder="" count="0" memberValueDatatype="5" unbalanced="0"/>
    <cacheHierarchy uniqueName="[Table1].[Reorder Point]" caption="Reorder Point" attribute="1" defaultMemberUniqueName="[Table1].[Reorder Point].[All]" allUniqueName="[Table1].[Reorder Point].[All]" dimensionUniqueName="[Table1]" displayFolder="" count="0" memberValueDatatype="5" unbalanced="0"/>
    <cacheHierarchy uniqueName="[Table1].[Month]" caption="Month" attribute="1" defaultMemberUniqueName="[Table1].[Month].[All]" allUniqueName="[Table1].[Month].[All]" dimensionUniqueName="[Table1]" displayFolder="" count="2" memberValueDatatype="130" unbalanced="0">
      <fieldsUsage count="2">
        <fieldUsage x="-1"/>
        <fieldUsage x="0"/>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Safety Stock]" caption="Sum of Safety Stock" measure="1" displayFolder="" measureGroup="Table1" count="0" hidden="1">
      <extLst>
        <ext xmlns:x15="http://schemas.microsoft.com/office/spreadsheetml/2010/11/main" uri="{B97F6D7D-B522-45F9-BDA1-12C45D357490}">
          <x15:cacheHierarchy aggregatedColumn="9"/>
        </ext>
      </extLst>
    </cacheHierarchy>
    <cacheHierarchy uniqueName="[Measures].[Average of Safety Stock]" caption="Average of Safety Stock" measure="1" displayFolder="" measureGroup="Table1" count="0" hidden="1">
      <extLst>
        <ext xmlns:x15="http://schemas.microsoft.com/office/spreadsheetml/2010/11/main" uri="{B97F6D7D-B522-45F9-BDA1-12C45D357490}">
          <x15:cacheHierarchy aggregatedColumn="9"/>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DELL" refreshedDate="46284.635195486109" backgroundQuery="1" createdVersion="6" refreshedVersion="6" minRefreshableVersion="3" recordCount="0" supportSubquery="1" supportAdvancedDrill="1">
  <cacheSource type="external" connectionId="1"/>
  <cacheFields count="2">
    <cacheField name="[Table1].[Category].[Category]" caption="Category" numFmtId="0" hierarchy="1" level="1">
      <sharedItems count="4">
        <s v="0"/>
        <s v="Clothing"/>
        <s v="Electronics"/>
        <s v="Unknown"/>
      </sharedItems>
    </cacheField>
    <cacheField name="[Measures].[Average of Safety Stock]" caption="Average of Safety Stock" numFmtId="0" hierarchy="16" level="32767"/>
  </cacheFields>
  <cacheHierarchies count="18">
    <cacheHierarchy uniqueName="[Table1].[Date]" caption="Date" attribute="1" time="1" defaultMemberUniqueName="[Table1].[Date].[All]" allUniqueName="[Table1].[Date].[All]" dimensionUniqueName="[Table1]" displayFolder="" count="0" memberValueDatatype="7" unbalanced="0"/>
    <cacheHierarchy uniqueName="[Table1].[Category]" caption="Category" attribute="1" defaultMemberUniqueName="[Table1].[Category].[All]" allUniqueName="[Table1].[Category].[All]" dimensionUniqueName="[Table1]" displayFolder="" count="2" memberValueDatatype="130" unbalanced="0">
      <fieldsUsage count="2">
        <fieldUsage x="-1"/>
        <fieldUsage x="0"/>
      </fieldsUsage>
    </cacheHierarchy>
    <cacheHierarchy uniqueName="[Table1].[Sales]" caption="Sales" attribute="1" defaultMemberUniqueName="[Table1].[Sales].[All]" allUniqueName="[Table1].[Sales].[All]" dimensionUniqueName="[Table1]" displayFolder="" count="0" memberValueDatatype="5" unbalanced="0"/>
    <cacheHierarchy uniqueName="[Table1].[Quantity]" caption="Quantity" attribute="1" defaultMemberUniqueName="[Table1].[Quantity].[All]" allUniqueName="[Table1].[Quantity].[All]" dimensionUniqueName="[Table1]" displayFolder="" count="0" memberValueDatatype="20" unbalanced="0"/>
    <cacheHierarchy uniqueName="[Table1].[Profit]" caption="Profit" attribute="1" defaultMemberUniqueName="[Table1].[Profit].[All]" allUniqueName="[Table1].[Profit].[All]" dimensionUniqueName="[Table1]" displayFolder="" count="0" memberValueDatatype="5" unbalanced="0"/>
    <cacheHierarchy uniqueName="[Table1].[Region]" caption="Region" attribute="1" defaultMemberUniqueName="[Table1].[Region].[All]" allUniqueName="[Table1].[Region].[All]" dimensionUniqueName="[Table1]" displayFolder="" count="0" memberValueDatatype="130" unbalanced="0"/>
    <cacheHierarchy uniqueName="[Table1].[Average Daily Demand]" caption="Average Daily Demand" attribute="1" defaultMemberUniqueName="[Table1].[Average Daily Demand].[All]" allUniqueName="[Table1].[Average Daily Demand].[All]" dimensionUniqueName="[Table1]" displayFolder="" count="0" memberValueDatatype="5" unbalanced="0"/>
    <cacheHierarchy uniqueName="[Table1].[Lead Time]" caption="Lead Time" attribute="1" defaultMemberUniqueName="[Table1].[Lead Time].[All]" allUniqueName="[Table1].[Lead Time].[All]" dimensionUniqueName="[Table1]" displayFolder="" count="0" memberValueDatatype="20" unbalanced="0"/>
    <cacheHierarchy uniqueName="[Table1].[Standard Deviation of Demand]" caption="Standard Deviation of Demand" attribute="1" defaultMemberUniqueName="[Table1].[Standard Deviation of Demand].[All]" allUniqueName="[Table1].[Standard Deviation of Demand].[All]" dimensionUniqueName="[Table1]" displayFolder="" count="0" memberValueDatatype="5" unbalanced="0"/>
    <cacheHierarchy uniqueName="[Table1].[Safety Stock]" caption="Safety Stock" attribute="1" defaultMemberUniqueName="[Table1].[Safety Stock].[All]" allUniqueName="[Table1].[Safety Stock].[All]" dimensionUniqueName="[Table1]" displayFolder="" count="0" memberValueDatatype="5" unbalanced="0"/>
    <cacheHierarchy uniqueName="[Table1].[Reorder Point]" caption="Reorder Point" attribute="1" defaultMemberUniqueName="[Table1].[Reorder Point].[All]" allUniqueName="[Table1].[Reorder Point].[All]" dimensionUniqueName="[Table1]" displayFolder="" count="0" memberValueDatatype="5" unbalanced="0"/>
    <cacheHierarchy uniqueName="[Table1].[Month]" caption="Month" attribute="1" defaultMemberUniqueName="[Table1].[Month].[All]" allUniqueName="[Table1].[Month].[All]" dimensionUniqueName="[Table1]" displayFolder="" count="0" memberValueDatatype="13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ales]" caption="Sum of Sales" measure="1" displayFolder="" measureGroup="Table1" count="0" hidden="1">
      <extLst>
        <ext xmlns:x15="http://schemas.microsoft.com/office/spreadsheetml/2010/11/main" uri="{B97F6D7D-B522-45F9-BDA1-12C45D357490}">
          <x15:cacheHierarchy aggregatedColumn="2"/>
        </ext>
      </extLst>
    </cacheHierarchy>
    <cacheHierarchy uniqueName="[Measures].[Sum of Safety Stock]" caption="Sum of Safety Stock" measure="1" displayFolder="" measureGroup="Table1" count="0" hidden="1">
      <extLst>
        <ext xmlns:x15="http://schemas.microsoft.com/office/spreadsheetml/2010/11/main" uri="{B97F6D7D-B522-45F9-BDA1-12C45D357490}">
          <x15:cacheHierarchy aggregatedColumn="9"/>
        </ext>
      </extLst>
    </cacheHierarchy>
    <cacheHierarchy uniqueName="[Measures].[Average of Safety Stock]" caption="Average of Safety Stock" measure="1" displayFolder="" measureGroup="Table1" count="0" oneField="1" hidden="1">
      <fieldsUsage count="1">
        <fieldUsage x="1"/>
      </fieldsUsage>
      <extLst>
        <ext xmlns:x15="http://schemas.microsoft.com/office/spreadsheetml/2010/11/main" uri="{B97F6D7D-B522-45F9-BDA1-12C45D357490}">
          <x15:cacheHierarchy aggregatedColumn="9"/>
        </ext>
      </extLst>
    </cacheHierarchy>
    <cacheHierarchy uniqueName="[Measures].[Sum of Quantity]" caption="Sum of Quantity" measure="1" displayFolder="" measureGroup="Table1" count="0" hidden="1">
      <extLst>
        <ext xmlns:x15="http://schemas.microsoft.com/office/spreadsheetml/2010/11/main" uri="{B97F6D7D-B522-45F9-BDA1-12C45D357490}">
          <x15:cacheHierarchy aggregatedColumn="3"/>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count="1825">
  <r>
    <x v="0"/>
    <x v="0"/>
    <n v="1149.01424590336"/>
    <n v="11"/>
    <n v="383.66424460000002"/>
    <x v="0"/>
  </r>
  <r>
    <x v="0"/>
    <x v="1"/>
    <n v="958.52070964864402"/>
    <n v="7"/>
    <n v="224.054048959814"/>
    <x v="1"/>
  </r>
  <r>
    <x v="0"/>
    <x v="2"/>
    <n v="1473.7638446522101"/>
    <n v="2"/>
    <n v="466.59309040026199"/>
    <x v="2"/>
  </r>
  <r>
    <x v="0"/>
    <x v="3"/>
    <n v="1230.2304187458701"/>
    <n v="6"/>
    <n v="123.310460302596"/>
    <x v="3"/>
  </r>
  <r>
    <x v="0"/>
    <x v="4"/>
    <n v="828.58595027375702"/>
    <n v="12"/>
    <n v="88.591355437943307"/>
    <x v="1"/>
  </r>
  <r>
    <x v="1"/>
    <x v="0"/>
    <n v="722.77514867586797"/>
    <n v="10"/>
    <n v="82.396149367770505"/>
    <x v="3"/>
  </r>
  <r>
    <x v="1"/>
    <x v="1"/>
    <n v="788.99685948777699"/>
    <n v="15"/>
    <n v="225.27107174327301"/>
    <x v="3"/>
  </r>
  <r>
    <x v="1"/>
    <x v="2"/>
    <n v="358.11380317712798"/>
    <n v="3"/>
    <n v="128.19833918632099"/>
    <x v="1"/>
  </r>
  <r>
    <x v="1"/>
    <x v="3"/>
    <n v="819.92384496822604"/>
    <n v="2"/>
    <n v="250.29807668244999"/>
    <x v="1"/>
  </r>
  <r>
    <x v="1"/>
    <x v="5"/>
    <n v="1284.23194631399"/>
    <n v="7"/>
    <n v="363.43635315216"/>
    <x v="3"/>
  </r>
  <r>
    <x v="2"/>
    <x v="4"/>
    <n v="1246.7634736309501"/>
    <n v="2"/>
    <n v="283.69699183768898"/>
    <x v="2"/>
  </r>
  <r>
    <x v="2"/>
    <x v="1"/>
    <n v="633.74690500869303"/>
    <n v="10"/>
    <n v="171.308188219371"/>
    <x v="0"/>
  </r>
  <r>
    <x v="2"/>
    <x v="2"/>
    <n v="1221.5399739986201"/>
    <n v="8"/>
    <n v="331.20003269871501"/>
    <x v="3"/>
  </r>
  <r>
    <x v="2"/>
    <x v="3"/>
    <n v="0"/>
    <n v="0"/>
    <n v="371.52657130406902"/>
    <x v="4"/>
  </r>
  <r>
    <x v="2"/>
    <x v="5"/>
    <n v="1232.1101250500999"/>
    <n v="13"/>
    <n v="175.30126184188299"/>
    <x v="1"/>
  </r>
  <r>
    <x v="3"/>
    <x v="4"/>
    <n v="839"/>
    <n v="13"/>
    <n v="102.610250599933"/>
    <x v="1"/>
  </r>
  <r>
    <x v="3"/>
    <x v="1"/>
    <n v="437.296968338044"/>
    <n v="8"/>
    <n v="44.454138356892102"/>
    <x v="1"/>
  </r>
  <r>
    <x v="3"/>
    <x v="2"/>
    <n v="589.96535833410996"/>
    <n v="19"/>
    <n v="184.10293967965799"/>
    <x v="1"/>
  </r>
  <r>
    <x v="3"/>
    <x v="4"/>
    <n v="1142.8127762280899"/>
    <n v="10"/>
    <n v="237.17904194889999"/>
    <x v="0"/>
  </r>
  <r>
    <x v="3"/>
    <x v="5"/>
    <n v="1391.0983805195699"/>
    <n v="7"/>
    <n v="493.85602473472301"/>
    <x v="3"/>
  </r>
  <r>
    <x v="4"/>
    <x v="0"/>
    <n v="856"/>
    <n v="5"/>
    <n v="273.04186276714802"/>
    <x v="3"/>
  </r>
  <r>
    <x v="4"/>
    <x v="1"/>
    <n v="944.30230700085394"/>
    <n v="3"/>
    <n v="228.20432366928401"/>
    <x v="0"/>
  </r>
  <r>
    <x v="4"/>
    <x v="2"/>
    <n v="719.87114772638495"/>
    <n v="14"/>
    <n v="178.62787558175901"/>
    <x v="0"/>
  </r>
  <r>
    <x v="4"/>
    <x v="3"/>
    <n v="1235.2624562961801"/>
    <n v="15"/>
    <n v="281.96385620000001"/>
    <x v="2"/>
  </r>
  <r>
    <x v="4"/>
    <x v="5"/>
    <n v="585.78489271832404"/>
    <n v="7"/>
    <n v="142.117897828298"/>
    <x v="0"/>
  </r>
  <r>
    <x v="5"/>
    <x v="0"/>
    <n v="916"/>
    <n v="4"/>
    <n v="340.90921960487702"/>
    <x v="1"/>
  </r>
  <r>
    <x v="5"/>
    <x v="1"/>
    <n v="1261.81152939715"/>
    <n v="4"/>
    <n v="483.09220469871599"/>
    <x v="1"/>
  </r>
  <r>
    <x v="5"/>
    <x v="2"/>
    <n v="1686.16779488718"/>
    <n v="19"/>
    <n v="250.170622214106"/>
    <x v="4"/>
  </r>
  <r>
    <x v="5"/>
    <x v="3"/>
    <n v="559.90963444614204"/>
    <n v="6"/>
    <n v="132.67639478594799"/>
    <x v="3"/>
  </r>
  <r>
    <x v="5"/>
    <x v="5"/>
    <n v="1267.78884145184"/>
    <n v="12"/>
    <n v="285.19288342430701"/>
    <x v="2"/>
  </r>
  <r>
    <x v="6"/>
    <x v="0"/>
    <n v="1411.5586400649299"/>
    <n v="7"/>
    <n v="525.16832052265102"/>
    <x v="0"/>
  </r>
  <r>
    <x v="6"/>
    <x v="1"/>
    <n v="1052.66598818644"/>
    <n v="13"/>
    <n v="377.08514181439602"/>
    <x v="1"/>
  </r>
  <r>
    <x v="6"/>
    <x v="2"/>
    <n v="1038.1036718115299"/>
    <n v="5"/>
    <n v="319.45648365255499"/>
    <x v="2"/>
  </r>
  <r>
    <x v="6"/>
    <x v="3"/>
    <n v="625"/>
    <n v="0"/>
    <n v="108.302445869038"/>
    <x v="1"/>
  </r>
  <r>
    <x v="6"/>
    <x v="5"/>
    <n v="1064.48164902842"/>
    <n v="9"/>
    <n v="235.411022894399"/>
    <x v="2"/>
  </r>
  <r>
    <x v="7"/>
    <x v="0"/>
    <n v="393.30552004127901"/>
    <n v="17"/>
    <n v="69.290452181311196"/>
    <x v="3"/>
  </r>
  <r>
    <x v="7"/>
    <x v="1"/>
    <n v="994.43475864650702"/>
    <n v="17"/>
    <n v="143.622312998724"/>
    <x v="3"/>
  </r>
  <r>
    <x v="7"/>
    <x v="2"/>
    <n v="497.94861340293301"/>
    <n v="17"/>
    <n v="89.647832179999995"/>
    <x v="2"/>
  </r>
  <r>
    <x v="7"/>
    <x v="3"/>
    <n v="802.24530926905595"/>
    <n v="5"/>
    <n v="163.27406795481301"/>
    <x v="0"/>
  </r>
  <r>
    <x v="7"/>
    <x v="5"/>
    <n v="1001.18119132942"/>
    <n v="19"/>
    <n v="304.57096761255099"/>
    <x v="0"/>
  </r>
  <r>
    <x v="8"/>
    <x v="0"/>
    <n v="1101.94628925599"/>
    <n v="0"/>
    <n v="136.92343580350101"/>
    <x v="3"/>
  </r>
  <r>
    <x v="8"/>
    <x v="1"/>
    <n v="997.78595501662801"/>
    <n v="17"/>
    <n v="317.759808959184"/>
    <x v="3"/>
  </r>
  <r>
    <x v="8"/>
    <x v="6"/>
    <n v="1106.84794911681"/>
    <n v="11"/>
    <n v="381.78457825162297"/>
    <x v="3"/>
  </r>
  <r>
    <x v="8"/>
    <x v="3"/>
    <n v="993.43573769836996"/>
    <n v="0"/>
    <n v="144.262032111851"/>
    <x v="1"/>
  </r>
  <r>
    <x v="8"/>
    <x v="5"/>
    <n v="1511.98148610353"/>
    <n v="19"/>
    <n v="473.77162667959499"/>
    <x v="1"/>
  </r>
  <r>
    <x v="9"/>
    <x v="0"/>
    <n v="0"/>
    <n v="19"/>
    <n v="258.22066110469001"/>
    <x v="1"/>
  </r>
  <r>
    <x v="9"/>
    <x v="1"/>
    <n v="1160.90080971461"/>
    <n v="7"/>
    <n v="442.32526169399398"/>
    <x v="0"/>
  </r>
  <r>
    <x v="9"/>
    <x v="2"/>
    <n v="725.59272062161597"/>
    <n v="11"/>
    <n v="146.801850533475"/>
    <x v="0"/>
  </r>
  <r>
    <x v="9"/>
    <x v="3"/>
    <n v="1061.695040202"/>
    <n v="0"/>
    <n v="188.32610806224301"/>
    <x v="3"/>
  </r>
  <r>
    <x v="9"/>
    <x v="5"/>
    <n v="566.95499449112799"/>
    <n v="16"/>
    <n v="195.69396185304501"/>
    <x v="0"/>
  </r>
  <r>
    <x v="10"/>
    <x v="0"/>
    <n v="486.84112644249001"/>
    <n v="1"/>
    <n v="62.2819895503103"/>
    <x v="3"/>
  </r>
  <r>
    <x v="10"/>
    <x v="1"/>
    <n v="1035.6935475687901"/>
    <n v="5"/>
    <n v="383.33650633242701"/>
    <x v="1"/>
  </r>
  <r>
    <x v="10"/>
    <x v="2"/>
    <n v="819.58082632848198"/>
    <n v="19"/>
    <n v="260.45188918274499"/>
    <x v="1"/>
  </r>
  <r>
    <x v="10"/>
    <x v="3"/>
    <n v="746.01569294056003"/>
    <n v="1"/>
    <n v="218.291274312724"/>
    <x v="1"/>
  </r>
  <r>
    <x v="10"/>
    <x v="5"/>
    <n v="1256.19933594847"/>
    <n v="16"/>
    <n v="163.86047902463901"/>
    <x v="1"/>
  </r>
  <r>
    <x v="11"/>
    <x v="0"/>
    <n v="1536.5781571976299"/>
    <n v="18"/>
    <n v="227.78605751265599"/>
    <x v="2"/>
  </r>
  <r>
    <x v="11"/>
    <x v="1"/>
    <n v="136.162931958287"/>
    <n v="9"/>
    <n v="20.802642658843599"/>
    <x v="3"/>
  </r>
  <r>
    <x v="11"/>
    <x v="2"/>
    <n v="759.04670049620495"/>
    <n v="1"/>
    <n v="188.37118852136001"/>
    <x v="3"/>
  </r>
  <r>
    <x v="11"/>
    <x v="3"/>
    <n v="1230.99320797923"/>
    <n v="7"/>
    <n v="389.34096579999999"/>
    <x v="3"/>
  </r>
  <r>
    <x v="11"/>
    <x v="5"/>
    <n v="0"/>
    <n v="1"/>
    <n v="362.74746579124502"/>
    <x v="1"/>
  </r>
  <r>
    <x v="12"/>
    <x v="0"/>
    <n v="589"/>
    <n v="14"/>
    <n v="163.140892452023"/>
    <x v="2"/>
  </r>
  <r>
    <x v="12"/>
    <x v="1"/>
    <n v="768.46577515202205"/>
    <n v="13"/>
    <n v="189.05998327714701"/>
    <x v="3"/>
  </r>
  <r>
    <x v="12"/>
    <x v="2"/>
    <n v="1362.8145912059899"/>
    <n v="1"/>
    <n v="372.14536862826401"/>
    <x v="3"/>
  </r>
  <r>
    <x v="12"/>
    <x v="3"/>
    <n v="1161.3880011075901"/>
    <n v="1"/>
    <n v="184.16465910947301"/>
    <x v="0"/>
  </r>
  <r>
    <x v="12"/>
    <x v="5"/>
    <n v="1835.18141394695"/>
    <n v="17"/>
    <n v="207.524390845211"/>
    <x v="3"/>
  </r>
  <r>
    <x v="13"/>
    <x v="0"/>
    <n v="990.64396054994597"/>
    <n v="14"/>
    <n v="370.95586092322299"/>
    <x v="1"/>
  </r>
  <r>
    <x v="13"/>
    <x v="1"/>
    <n v="1181.83880892972"/>
    <n v="3"/>
    <n v="465.762054269521"/>
    <x v="3"/>
  </r>
  <r>
    <x v="13"/>
    <x v="2"/>
    <n v="416.73112187511998"/>
    <n v="1"/>
    <n v="81.294491014218394"/>
    <x v="3"/>
  </r>
  <r>
    <x v="13"/>
    <x v="3"/>
    <n v="597.57895061615"/>
    <n v="3"/>
    <n v="161.95486180431999"/>
    <x v="3"/>
  </r>
  <r>
    <x v="13"/>
    <x v="5"/>
    <n v="513"/>
    <n v="18"/>
    <n v="146.08947735729899"/>
    <x v="2"/>
  </r>
  <r>
    <x v="14"/>
    <x v="0"/>
    <n v="608.29073378767202"/>
    <n v="10"/>
    <n v="220.93844629734701"/>
    <x v="0"/>
  </r>
  <r>
    <x v="14"/>
    <x v="1"/>
    <n v="774.77144707969796"/>
    <n v="8"/>
    <n v="239.48551299443901"/>
    <x v="1"/>
  </r>
  <r>
    <x v="14"/>
    <x v="2"/>
    <n v="1135"/>
    <n v="10"/>
    <n v="389.06423499280902"/>
    <x v="1"/>
  </r>
  <r>
    <x v="14"/>
    <x v="3"/>
    <n v="1533.6773031657799"/>
    <n v="0"/>
    <n v="552.31047087947104"/>
    <x v="0"/>
  </r>
  <r>
    <x v="14"/>
    <x v="5"/>
    <n v="645.02031356367399"/>
    <n v="8"/>
    <n v="200.33689994039"/>
    <x v="3"/>
  </r>
  <r>
    <x v="15"/>
    <x v="0"/>
    <n v="1148.4986962574999"/>
    <n v="14"/>
    <n v="421.50086204765802"/>
    <x v="1"/>
  </r>
  <r>
    <x v="15"/>
    <x v="1"/>
    <n v="1020.50537533114"/>
    <n v="19"/>
    <n v="244.59412160742599"/>
    <x v="1"/>
  </r>
  <r>
    <x v="15"/>
    <x v="2"/>
    <n v="877.17735082853198"/>
    <n v="17"/>
    <n v="97.546030662437204"/>
    <x v="2"/>
  </r>
  <r>
    <x v="15"/>
    <x v="3"/>
    <n v="1106.32587553589"/>
    <n v="5"/>
    <n v="283.96395710000002"/>
    <x v="0"/>
  </r>
  <r>
    <x v="15"/>
    <x v="5"/>
    <n v="435.90622346423299"/>
    <n v="12"/>
    <n v="169.81840636969699"/>
    <x v="1"/>
  </r>
  <r>
    <x v="16"/>
    <x v="0"/>
    <n v="1716.7107872177301"/>
    <n v="8"/>
    <n v="545.61772625387596"/>
    <x v="4"/>
  </r>
  <r>
    <x v="16"/>
    <x v="1"/>
    <n v="1553"/>
    <n v="18"/>
    <n v="395.85048213354401"/>
    <x v="2"/>
  </r>
  <r>
    <x v="16"/>
    <x v="2"/>
    <n v="967.84165745166194"/>
    <n v="19"/>
    <n v="224.24061396206201"/>
    <x v="1"/>
  </r>
  <r>
    <x v="16"/>
    <x v="3"/>
    <n v="854.13481427406202"/>
    <n v="5"/>
    <n v="132.64722403425"/>
    <x v="2"/>
  </r>
  <r>
    <x v="16"/>
    <x v="5"/>
    <n v="1151.49618369413"/>
    <n v="1"/>
    <n v="175.01394283464799"/>
    <x v="0"/>
  </r>
  <r>
    <x v="17"/>
    <x v="0"/>
    <n v="1259.7265582510299"/>
    <n v="15"/>
    <n v="220.54394327459801"/>
    <x v="2"/>
  </r>
  <r>
    <x v="17"/>
    <x v="1"/>
    <n v="1055.15665432286"/>
    <n v="7"/>
    <n v="313.52228270000001"/>
    <x v="0"/>
  </r>
  <r>
    <x v="17"/>
    <x v="2"/>
    <n v="1173.3691405296499"/>
    <n v="3"/>
    <n v="204.54088352302401"/>
    <x v="4"/>
  </r>
  <r>
    <x v="17"/>
    <x v="3"/>
    <n v="795.99869976461696"/>
    <n v="15"/>
    <n v="89.325892083122795"/>
    <x v="2"/>
  </r>
  <r>
    <x v="17"/>
    <x v="5"/>
    <n v="920.97824653981797"/>
    <n v="5"/>
    <n v="223.108959154356"/>
    <x v="2"/>
  </r>
  <r>
    <x v="18"/>
    <x v="4"/>
    <n v="1209.7277145579901"/>
    <n v="4"/>
    <n v="183.830902128823"/>
    <x v="2"/>
  </r>
  <r>
    <x v="18"/>
    <x v="1"/>
    <n v="1179.9689901132999"/>
    <n v="5"/>
    <n v="259.06386771200101"/>
    <x v="2"/>
  </r>
  <r>
    <x v="18"/>
    <x v="2"/>
    <n v="1000.5440833584"/>
    <n v="5"/>
    <n v="305.355179146686"/>
    <x v="3"/>
  </r>
  <r>
    <x v="18"/>
    <x v="3"/>
    <n v="1226.7805845374901"/>
    <n v="16"/>
    <n v="359.11030774457902"/>
    <x v="0"/>
  </r>
  <r>
    <x v="18"/>
    <x v="5"/>
    <n v="1103.2204394206001"/>
    <n v="12"/>
    <n v="238.793142909887"/>
    <x v="3"/>
  </r>
  <r>
    <x v="19"/>
    <x v="0"/>
    <n v="1277.86976286551"/>
    <n v="1"/>
    <n v="303.46323003799898"/>
    <x v="1"/>
  </r>
  <r>
    <x v="19"/>
    <x v="1"/>
    <n v="1133.8868044005701"/>
    <n v="1"/>
    <n v="440.35306949034299"/>
    <x v="2"/>
  </r>
  <r>
    <x v="19"/>
    <x v="2"/>
    <n v="1340.8726951357701"/>
    <n v="11"/>
    <n v="212.84656549016199"/>
    <x v="0"/>
  </r>
  <r>
    <x v="19"/>
    <x v="3"/>
    <n v="836.48871539587196"/>
    <n v="19"/>
    <n v="238.79759078908"/>
    <x v="1"/>
  </r>
  <r>
    <x v="19"/>
    <x v="5"/>
    <n v="619.785309546299"/>
    <n v="17"/>
    <n v="183.90070791842001"/>
    <x v="0"/>
  </r>
  <r>
    <x v="20"/>
    <x v="7"/>
    <n v="823.19057291673596"/>
    <n v="4"/>
    <n v="253.43330069370299"/>
    <x v="2"/>
  </r>
  <r>
    <x v="20"/>
    <x v="1"/>
    <n v="1254.8806291062999"/>
    <n v="13"/>
    <n v="478.102549526215"/>
    <x v="3"/>
  </r>
  <r>
    <x v="20"/>
    <x v="2"/>
    <n v="0"/>
    <n v="4"/>
    <n v="190.5987762"/>
    <x v="0"/>
  </r>
  <r>
    <x v="20"/>
    <x v="3"/>
    <n v="1188.8886525770799"/>
    <n v="3"/>
    <n v="472.16896235086398"/>
    <x v="3"/>
  </r>
  <r>
    <x v="20"/>
    <x v="5"/>
    <n v="890"/>
    <n v="5"/>
    <n v="152.64894039999999"/>
    <x v="1"/>
  </r>
  <r>
    <x v="21"/>
    <x v="0"/>
    <n v="835.68295511220094"/>
    <n v="13"/>
    <n v="269.06703734444"/>
    <x v="1"/>
  </r>
  <r>
    <x v="21"/>
    <x v="1"/>
    <n v="1391.6436421462899"/>
    <n v="13"/>
    <n v="513.03912641394902"/>
    <x v="0"/>
  </r>
  <r>
    <x v="21"/>
    <x v="2"/>
    <n v="1006.30115248982"/>
    <n v="4"/>
    <n v="103.901897601454"/>
    <x v="0"/>
  </r>
  <r>
    <x v="21"/>
    <x v="3"/>
    <n v="876.61282280205501"/>
    <n v="14"/>
    <n v="265.640835171665"/>
    <x v="3"/>
  </r>
  <r>
    <x v="21"/>
    <x v="5"/>
    <n v="1295.20706336892"/>
    <n v="19"/>
    <n v="321.091800647338"/>
    <x v="3"/>
  </r>
  <r>
    <x v="22"/>
    <x v="0"/>
    <n v="462.38646995943498"/>
    <n v="4"/>
    <n v="177.49091336932699"/>
    <x v="3"/>
  </r>
  <r>
    <x v="22"/>
    <x v="1"/>
    <n v="865.96794646302703"/>
    <n v="7"/>
    <n v="110.291263174893"/>
    <x v="2"/>
  </r>
  <r>
    <x v="22"/>
    <x v="2"/>
    <n v="1544.0999727636699"/>
    <n v="15"/>
    <n v="220.64803298533101"/>
    <x v="2"/>
  </r>
  <r>
    <x v="22"/>
    <x v="3"/>
    <n v="1121.37486853525"/>
    <n v="12"/>
    <n v="403.76292099010698"/>
    <x v="4"/>
  </r>
  <r>
    <x v="22"/>
    <x v="5"/>
    <n v="1073.4899713326099"/>
    <n v="10"/>
    <n v="235.089452176533"/>
    <x v="1"/>
  </r>
  <r>
    <x v="23"/>
    <x v="0"/>
    <n v="847.91704738866099"/>
    <n v="2"/>
    <n v="105.48481010603"/>
    <x v="0"/>
  </r>
  <r>
    <x v="23"/>
    <x v="1"/>
    <n v="1133.6520703844101"/>
    <n v="13"/>
    <n v="239.418978256673"/>
    <x v="3"/>
  </r>
  <r>
    <x v="23"/>
    <x v="2"/>
    <n v="561.47300318928296"/>
    <n v="17"/>
    <n v="215.703651372075"/>
    <x v="0"/>
  </r>
  <r>
    <x v="23"/>
    <x v="3"/>
    <n v="477.01442583647201"/>
    <n v="19"/>
    <n v="158.91452955116"/>
    <x v="2"/>
  </r>
  <r>
    <x v="23"/>
    <x v="5"/>
    <n v="1320.8433856122599"/>
    <n v="7"/>
    <n v="300.18358904472899"/>
    <x v="2"/>
  </r>
  <r>
    <x v="24"/>
    <x v="0"/>
    <n v="782.69986139587002"/>
    <n v="13"/>
    <n v="80.935934995325994"/>
    <x v="3"/>
  </r>
  <r>
    <x v="24"/>
    <x v="1"/>
    <n v="437.26640843081702"/>
    <n v="8"/>
    <n v="59.143724790455202"/>
    <x v="0"/>
  </r>
  <r>
    <x v="24"/>
    <x v="2"/>
    <n v="1252.05134778352"/>
    <n v="17"/>
    <n v="156.34039209206901"/>
    <x v="0"/>
  </r>
  <r>
    <x v="24"/>
    <x v="3"/>
    <n v="1340.0026075207199"/>
    <n v="6"/>
    <n v="309.40760638432403"/>
    <x v="2"/>
  </r>
  <r>
    <x v="24"/>
    <x v="5"/>
    <n v="1067.22774454312"/>
    <n v="5"/>
    <n v="187.72221236673499"/>
    <x v="1"/>
  </r>
  <r>
    <x v="25"/>
    <x v="0"/>
    <n v="1003.77772023453"/>
    <n v="18"/>
    <n v="150.43077621635399"/>
    <x v="0"/>
  </r>
  <r>
    <x v="25"/>
    <x v="1"/>
    <n v="870.41733951748802"/>
    <n v="3"/>
    <n v="322.35680134467998"/>
    <x v="0"/>
  </r>
  <r>
    <x v="25"/>
    <x v="2"/>
    <n v="1557.9901019460699"/>
    <n v="11"/>
    <n v="287.12037071337602"/>
    <x v="3"/>
  </r>
  <r>
    <x v="25"/>
    <x v="3"/>
    <n v="957"/>
    <n v="8"/>
    <n v="144.41736734595099"/>
    <x v="3"/>
  </r>
  <r>
    <x v="25"/>
    <x v="5"/>
    <n v="0"/>
    <n v="8"/>
    <n v="168.88727776491001"/>
    <x v="2"/>
  </r>
  <r>
    <x v="26"/>
    <x v="0"/>
    <n v="760.52943459053995"/>
    <n v="4"/>
    <n v="301.06563342491"/>
    <x v="2"/>
  </r>
  <r>
    <x v="26"/>
    <x v="1"/>
    <n v="598.64655285748597"/>
    <n v="17"/>
    <n v="110.10849304035099"/>
    <x v="0"/>
  </r>
  <r>
    <x v="26"/>
    <x v="2"/>
    <n v="1171.40425309803"/>
    <n v="13"/>
    <n v="437.25961876341501"/>
    <x v="0"/>
  </r>
  <r>
    <x v="26"/>
    <x v="3"/>
    <n v="0"/>
    <n v="6"/>
    <n v="497.01799819664001"/>
    <x v="3"/>
  </r>
  <r>
    <x v="26"/>
    <x v="5"/>
    <n v="1234.0825493259999"/>
    <n v="10"/>
    <n v="468.72743830254802"/>
    <x v="2"/>
  </r>
  <r>
    <x v="27"/>
    <x v="0"/>
    <n v="1045.32398864581"/>
    <n v="13"/>
    <n v="156.22396105974599"/>
    <x v="3"/>
  </r>
  <r>
    <x v="27"/>
    <x v="1"/>
    <n v="1353.8320362163799"/>
    <n v="15"/>
    <n v="196.4749654"/>
    <x v="0"/>
  </r>
  <r>
    <x v="27"/>
    <x v="2"/>
    <n v="859.24730436858795"/>
    <n v="17"/>
    <n v="302.024234346215"/>
    <x v="2"/>
  </r>
  <r>
    <x v="27"/>
    <x v="3"/>
    <n v="0"/>
    <n v="5"/>
    <n v="439.98222482613397"/>
    <x v="4"/>
  </r>
  <r>
    <x v="27"/>
    <x v="5"/>
    <n v="1573.4588819528201"/>
    <n v="5"/>
    <n v="500.10227563806302"/>
    <x v="2"/>
  </r>
  <r>
    <x v="28"/>
    <x v="0"/>
    <n v="865"/>
    <n v="14"/>
    <n v="139.70609038717799"/>
    <x v="0"/>
  </r>
  <r>
    <x v="28"/>
    <x v="1"/>
    <n v="1186.8549797042399"/>
    <n v="19"/>
    <n v="216.50553838541401"/>
    <x v="3"/>
  </r>
  <r>
    <x v="28"/>
    <x v="2"/>
    <n v="1213.4844634266601"/>
    <n v="2"/>
    <n v="251.735914456122"/>
    <x v="3"/>
  </r>
  <r>
    <x v="28"/>
    <x v="3"/>
    <n v="662.60737244863901"/>
    <n v="7"/>
    <n v="199.75754240646799"/>
    <x v="2"/>
  </r>
  <r>
    <x v="28"/>
    <x v="5"/>
    <n v="1382.6389745960801"/>
    <n v="18"/>
    <n v="491.74170419066201"/>
    <x v="2"/>
  </r>
  <r>
    <x v="29"/>
    <x v="0"/>
    <n v="972.53018180504796"/>
    <n v="12"/>
    <n v="260.91175041210403"/>
    <x v="2"/>
  </r>
  <r>
    <x v="29"/>
    <x v="1"/>
    <n v="1124.11383998562"/>
    <n v="15"/>
    <n v="254.230410700524"/>
    <x v="0"/>
  </r>
  <r>
    <x v="29"/>
    <x v="2"/>
    <n v="1402.6265512917701"/>
    <n v="14"/>
    <n v="436.53094821817501"/>
    <x v="1"/>
  </r>
  <r>
    <x v="29"/>
    <x v="3"/>
    <n v="1070.03973894407"/>
    <n v="2"/>
    <n v="219.54675986514201"/>
    <x v="2"/>
  </r>
  <r>
    <x v="29"/>
    <x v="5"/>
    <n v="1240.7956766822199"/>
    <n v="18"/>
    <n v="270.087982277452"/>
    <x v="1"/>
  </r>
  <r>
    <x v="30"/>
    <x v="0"/>
    <n v="1075.3584916658999"/>
    <n v="6"/>
    <n v="253.00296270000001"/>
    <x v="1"/>
  </r>
  <r>
    <x v="30"/>
    <x v="1"/>
    <n v="863.86100050835296"/>
    <n v="10"/>
    <n v="309.87481292285202"/>
    <x v="0"/>
  </r>
  <r>
    <x v="30"/>
    <x v="2"/>
    <n v="941.59892143675597"/>
    <n v="17"/>
    <n v="233.17274337921901"/>
    <x v="3"/>
  </r>
  <r>
    <x v="30"/>
    <x v="3"/>
    <s v="Unknown"/>
    <n v="5"/>
    <n v="561.81928069404103"/>
    <x v="0"/>
  </r>
  <r>
    <x v="30"/>
    <x v="5"/>
    <n v="655.58352815327703"/>
    <n v="11"/>
    <n v="112.789006424075"/>
    <x v="1"/>
  </r>
  <r>
    <x v="31"/>
    <x v="0"/>
    <n v="819.32313913534699"/>
    <n v="15"/>
    <n v="113.610555411551"/>
    <x v="1"/>
  </r>
  <r>
    <x v="31"/>
    <x v="1"/>
    <n v="470.76193020997499"/>
    <n v="16"/>
    <n v="137.586022586913"/>
    <x v="3"/>
  </r>
  <r>
    <x v="31"/>
    <x v="2"/>
    <n v="1449.9666027025501"/>
    <n v="4"/>
    <n v="295.35846521021301"/>
    <x v="1"/>
  </r>
  <r>
    <x v="31"/>
    <x v="3"/>
    <n v="1013.11080042528"/>
    <n v="18"/>
    <n v="284.25925515677102"/>
    <x v="1"/>
  </r>
  <r>
    <x v="31"/>
    <x v="5"/>
    <n v="1322.10460362962"/>
    <n v="19"/>
    <n v="458.15841562049297"/>
    <x v="2"/>
  </r>
  <r>
    <x v="32"/>
    <x v="0"/>
    <n v="755.35027801345302"/>
    <n v="6"/>
    <n v="102.871729433615"/>
    <x v="0"/>
  </r>
  <r>
    <x v="32"/>
    <x v="1"/>
    <n v="832.29235200000005"/>
    <n v="12"/>
    <n v="134.74822794149"/>
    <x v="2"/>
  </r>
  <r>
    <x v="32"/>
    <x v="2"/>
    <n v="887.60160149315595"/>
    <n v="9"/>
    <n v="113.335341791128"/>
    <x v="1"/>
  </r>
  <r>
    <x v="32"/>
    <x v="3"/>
    <n v="754.39690440000004"/>
    <n v="15"/>
    <n v="191.237430581502"/>
    <x v="1"/>
  </r>
  <r>
    <x v="32"/>
    <x v="5"/>
    <n v="1255.40627938015"/>
    <n v="17"/>
    <n v="350.48862443789602"/>
    <x v="3"/>
  </r>
  <r>
    <x v="33"/>
    <x v="0"/>
    <n v="813.89088323933402"/>
    <n v="15"/>
    <n v="212.40695876411101"/>
    <x v="3"/>
  </r>
  <r>
    <x v="33"/>
    <x v="1"/>
    <n v="1712.24252302017"/>
    <n v="14"/>
    <n v="408.81573510289002"/>
    <x v="0"/>
  </r>
  <r>
    <x v="33"/>
    <x v="2"/>
    <n v="906.78272061484097"/>
    <n v="14"/>
    <n v="130.86844877145199"/>
    <x v="1"/>
  </r>
  <r>
    <x v="33"/>
    <x v="3"/>
    <n v="1172.9670889167201"/>
    <n v="14"/>
    <n v="381.07925973082502"/>
    <x v="3"/>
  </r>
  <r>
    <x v="33"/>
    <x v="5"/>
    <n v="1093.3750463630599"/>
    <n v="13"/>
    <n v="393.79487067810101"/>
    <x v="2"/>
  </r>
  <r>
    <x v="34"/>
    <x v="0"/>
    <n v="518.06610392272796"/>
    <n v="5"/>
    <n v="80.137140011261906"/>
    <x v="1"/>
  </r>
  <r>
    <x v="34"/>
    <x v="1"/>
    <n v="1061.03909076016"/>
    <n v="17"/>
    <n v="173.410289402015"/>
    <x v="2"/>
  </r>
  <r>
    <x v="34"/>
    <x v="2"/>
    <n v="531.84822568519803"/>
    <n v="13"/>
    <n v="147.89515052937301"/>
    <x v="3"/>
  </r>
  <r>
    <x v="34"/>
    <x v="3"/>
    <n v="1062.00683890032"/>
    <n v="10"/>
    <n v="357.63225962936099"/>
    <x v="0"/>
  </r>
  <r>
    <x v="34"/>
    <x v="5"/>
    <n v="1771.99748563312"/>
    <n v="2"/>
    <n v="473.69511643196199"/>
    <x v="3"/>
  </r>
  <r>
    <x v="35"/>
    <x v="0"/>
    <n v="812.79498133342599"/>
    <n v="17"/>
    <n v="218.91621929329699"/>
    <x v="2"/>
  </r>
  <r>
    <x v="35"/>
    <x v="1"/>
    <n v="737.31452398457202"/>
    <n v="2"/>
    <n v="127.780991550122"/>
    <x v="1"/>
  </r>
  <r>
    <x v="35"/>
    <x v="2"/>
    <n v="585.16008071069905"/>
    <n v="13"/>
    <n v="116.508031261768"/>
    <x v="0"/>
  </r>
  <r>
    <x v="35"/>
    <x v="3"/>
    <n v="891.57314817190604"/>
    <n v="6"/>
    <n v="186.88001379405301"/>
    <x v="3"/>
  </r>
  <r>
    <x v="35"/>
    <x v="5"/>
    <n v="928.45198978478197"/>
    <n v="4"/>
    <n v="329.82816419209399"/>
    <x v="2"/>
  </r>
  <r>
    <x v="36"/>
    <x v="0"/>
    <n v="751.42486869437903"/>
    <n v="9"/>
    <n v="93.229376409035197"/>
    <x v="1"/>
  </r>
  <r>
    <x v="36"/>
    <x v="1"/>
    <n v="0"/>
    <n v="8"/>
    <n v="258.53678971366003"/>
    <x v="3"/>
  </r>
  <r>
    <x v="36"/>
    <x v="2"/>
    <n v="928.31558594007697"/>
    <n v="11"/>
    <n v="333.87068500688201"/>
    <x v="2"/>
  </r>
  <r>
    <x v="36"/>
    <x v="3"/>
    <n v="727.73090138752002"/>
    <n v="17"/>
    <n v="179.913005584198"/>
    <x v="2"/>
  </r>
  <r>
    <x v="36"/>
    <x v="5"/>
    <n v="1158.4949828891099"/>
    <n v="15"/>
    <n v="301.80070919999997"/>
    <x v="2"/>
  </r>
  <r>
    <x v="37"/>
    <x v="0"/>
    <n v="1062.25104554774"/>
    <n v="19"/>
    <n v="373.46066450000001"/>
    <x v="0"/>
  </r>
  <r>
    <x v="37"/>
    <x v="1"/>
    <n v="830.63289901912697"/>
    <n v="19"/>
    <n v="132.77839513073999"/>
    <x v="3"/>
  </r>
  <r>
    <x v="37"/>
    <x v="2"/>
    <n v="0"/>
    <n v="17"/>
    <n v="181.107403910632"/>
    <x v="0"/>
  </r>
  <r>
    <x v="37"/>
    <x v="3"/>
    <n v="542.71284004900201"/>
    <n v="5"/>
    <n v="136.672018659645"/>
    <x v="1"/>
  </r>
  <r>
    <x v="37"/>
    <x v="5"/>
    <n v="1239.3208943735899"/>
    <n v="4"/>
    <n v="243.14565994566999"/>
    <x v="1"/>
  </r>
  <r>
    <x v="38"/>
    <x v="0"/>
    <n v="955.43457849788501"/>
    <n v="10"/>
    <n v="252.78977447474799"/>
    <x v="2"/>
  </r>
  <r>
    <x v="38"/>
    <x v="1"/>
    <n v="877.76195870942001"/>
    <n v="12"/>
    <n v="140.89759359484501"/>
    <x v="3"/>
  </r>
  <r>
    <x v="38"/>
    <x v="2"/>
    <n v="819.40939633108405"/>
    <n v="5"/>
    <n v="82.607340568891502"/>
    <x v="0"/>
  </r>
  <r>
    <x v="38"/>
    <x v="3"/>
    <n v="1228.0753283905999"/>
    <n v="11"/>
    <n v="297.13265416110198"/>
    <x v="2"/>
  </r>
  <r>
    <x v="38"/>
    <x v="5"/>
    <n v="468.92704349743201"/>
    <n v="17"/>
    <n v="166.57143814402201"/>
    <x v="3"/>
  </r>
  <r>
    <x v="39"/>
    <x v="0"/>
    <n v="690.211279289711"/>
    <n v="12"/>
    <n v="153.610308003135"/>
    <x v="0"/>
  </r>
  <r>
    <x v="39"/>
    <x v="1"/>
    <n v="1050.91878531711"/>
    <n v="12"/>
    <n v="224.65341169201599"/>
    <x v="0"/>
  </r>
  <r>
    <x v="39"/>
    <x v="2"/>
    <n v="1026.8181757436901"/>
    <n v="8"/>
    <n v="324.96635373397999"/>
    <x v="3"/>
  </r>
  <r>
    <x v="39"/>
    <x v="3"/>
    <n v="964.04472419032004"/>
    <n v="9"/>
    <n v="313.45969873843597"/>
    <x v="3"/>
  </r>
  <r>
    <x v="39"/>
    <x v="5"/>
    <n v="1034.1188380638901"/>
    <n v="3"/>
    <n v="154.37299063340001"/>
    <x v="0"/>
  </r>
  <r>
    <x v="40"/>
    <x v="0"/>
    <n v="1196.01992137446"/>
    <n v="4"/>
    <n v="233.05521558658501"/>
    <x v="2"/>
  </r>
  <r>
    <x v="40"/>
    <x v="1"/>
    <n v="612.66268331538799"/>
    <n v="18"/>
    <n v="211.356269465688"/>
    <x v="1"/>
  </r>
  <r>
    <x v="40"/>
    <x v="2"/>
    <n v="1165.7599457042299"/>
    <n v="6"/>
    <n v="305.35253699935498"/>
    <x v="1"/>
  </r>
  <r>
    <x v="40"/>
    <x v="3"/>
    <n v="1088.6651352937399"/>
    <n v="15"/>
    <n v="297.47326430326399"/>
    <x v="0"/>
  </r>
  <r>
    <x v="40"/>
    <x v="5"/>
    <n v="928.24640019094898"/>
    <n v="14"/>
    <n v="111.376325397302"/>
    <x v="3"/>
  </r>
  <r>
    <x v="41"/>
    <x v="0"/>
    <n v="1246.9314927235"/>
    <n v="19"/>
    <n v="327.76191963448002"/>
    <x v="2"/>
  </r>
  <r>
    <x v="41"/>
    <x v="1"/>
    <n v="1049.55831403617"/>
    <n v="8"/>
    <n v="323.38495613665401"/>
    <x v="3"/>
  </r>
  <r>
    <x v="41"/>
    <x v="2"/>
    <n v="1170.68100234089"/>
    <n v="15"/>
    <n v="425.64642427546897"/>
    <x v="0"/>
  </r>
  <r>
    <x v="41"/>
    <x v="3"/>
    <n v="1289.7766023878701"/>
    <n v="4"/>
    <n v="515.01783795690596"/>
    <x v="0"/>
  </r>
  <r>
    <x v="41"/>
    <x v="5"/>
    <n v="1024.61646134583"/>
    <n v="1"/>
    <n v="319.77679166655997"/>
    <x v="1"/>
  </r>
  <r>
    <x v="42"/>
    <x v="0"/>
    <n v="1452.9313937378799"/>
    <n v="10"/>
    <n v="294.39953295401699"/>
    <x v="2"/>
  </r>
  <r>
    <x v="42"/>
    <x v="1"/>
    <n v="1120.6103440140701"/>
    <n v="13"/>
    <n v="149.25355504388199"/>
    <x v="3"/>
  </r>
  <r>
    <x v="42"/>
    <x v="2"/>
    <n v="1677.1594843279399"/>
    <n v="15"/>
    <n v="568.87339379116202"/>
    <x v="0"/>
  </r>
  <r>
    <x v="42"/>
    <x v="3"/>
    <n v="719.90856722112198"/>
    <n v="15"/>
    <n v="160.31395740009501"/>
    <x v="0"/>
  </r>
  <r>
    <x v="42"/>
    <x v="5"/>
    <n v="1260.8817760316899"/>
    <n v="19"/>
    <n v="339.99992840317202"/>
    <x v="2"/>
  </r>
  <r>
    <x v="43"/>
    <x v="0"/>
    <n v="1406.69135764148"/>
    <n v="11"/>
    <n v="393.46396488586799"/>
    <x v="3"/>
  </r>
  <r>
    <x v="43"/>
    <x v="1"/>
    <n v="466.38392532871597"/>
    <n v="15"/>
    <n v="86.924115957973896"/>
    <x v="1"/>
  </r>
  <r>
    <x v="43"/>
    <x v="2"/>
    <n v="1448.8132934467501"/>
    <n v="12"/>
    <n v="541.21249682261498"/>
    <x v="3"/>
  </r>
  <r>
    <x v="43"/>
    <x v="3"/>
    <n v="1733.7255938850401"/>
    <n v="15"/>
    <n v="551.02770973750899"/>
    <x v="1"/>
  </r>
  <r>
    <x v="43"/>
    <x v="5"/>
    <n v="1038.76635459256"/>
    <n v="12"/>
    <n v="135.72915844237801"/>
    <x v="3"/>
  </r>
  <r>
    <x v="44"/>
    <x v="0"/>
    <n v="1144.3027695210101"/>
    <n v="8"/>
    <n v="338.03866799999997"/>
    <x v="0"/>
  </r>
  <r>
    <x v="44"/>
    <x v="1"/>
    <n v="1067.1652072837301"/>
    <n v="9"/>
    <n v="242.50176945511399"/>
    <x v="0"/>
  </r>
  <r>
    <x v="44"/>
    <x v="2"/>
    <n v="811.77433468675599"/>
    <n v="4"/>
    <n v="111.53682299689"/>
    <x v="0"/>
  </r>
  <r>
    <x v="44"/>
    <x v="3"/>
    <n v="851.3832271"/>
    <n v="1"/>
    <n v="307.32287430994597"/>
    <x v="1"/>
  </r>
  <r>
    <x v="44"/>
    <x v="5"/>
    <n v="1161.3297875220801"/>
    <n v="15"/>
    <n v="135.21187546547301"/>
    <x v="0"/>
  </r>
  <r>
    <x v="45"/>
    <x v="0"/>
    <n v="592.38654559999998"/>
    <n v="10"/>
    <n v="201.918528882103"/>
    <x v="0"/>
  </r>
  <r>
    <x v="45"/>
    <x v="1"/>
    <n v="0"/>
    <n v="11"/>
    <n v="273.405002478683"/>
    <x v="1"/>
  </r>
  <r>
    <x v="45"/>
    <x v="2"/>
    <n v="1073.8311046870499"/>
    <n v="18"/>
    <n v="262.28442150000001"/>
    <x v="1"/>
  </r>
  <r>
    <x v="45"/>
    <x v="3"/>
    <n v="549.17049469999995"/>
    <n v="12"/>
    <n v="205.293571693991"/>
    <x v="2"/>
  </r>
  <r>
    <x v="45"/>
    <x v="5"/>
    <n v="921.77945053245401"/>
    <n v="7"/>
    <n v="137.94797749161299"/>
    <x v="0"/>
  </r>
  <r>
    <x v="46"/>
    <x v="0"/>
    <n v="0"/>
    <n v="11"/>
    <n v="269.61020140274002"/>
    <x v="3"/>
  </r>
  <r>
    <x v="46"/>
    <x v="1"/>
    <n v="1208.8619094440201"/>
    <n v="18"/>
    <n v="361.52370730147999"/>
    <x v="1"/>
  </r>
  <r>
    <x v="46"/>
    <x v="2"/>
    <n v="988.88922588426396"/>
    <n v="8"/>
    <n v="247.87349309124701"/>
    <x v="0"/>
  </r>
  <r>
    <x v="46"/>
    <x v="3"/>
    <n v="1128.8344736151"/>
    <n v="13"/>
    <n v="247.43536307760601"/>
    <x v="1"/>
  </r>
  <r>
    <x v="46"/>
    <x v="5"/>
    <n v="0"/>
    <n v="17"/>
    <n v="117.55903707652899"/>
    <x v="2"/>
  </r>
  <r>
    <x v="47"/>
    <x v="0"/>
    <n v="956.69187642281702"/>
    <n v="16"/>
    <n v="257.78286474082199"/>
    <x v="2"/>
  </r>
  <r>
    <x v="47"/>
    <x v="1"/>
    <n v="1311.9977319489401"/>
    <n v="18"/>
    <n v="337.59942640000003"/>
    <x v="3"/>
  </r>
  <r>
    <x v="47"/>
    <x v="2"/>
    <n v="699.81391582811705"/>
    <n v="17"/>
    <n v="154.11926166793901"/>
    <x v="2"/>
  </r>
  <r>
    <x v="47"/>
    <x v="3"/>
    <n v="893.04037300000005"/>
    <n v="8"/>
    <n v="320.18684303679902"/>
    <x v="1"/>
  </r>
  <r>
    <x v="47"/>
    <x v="5"/>
    <n v="1071.4888786364299"/>
    <n v="3"/>
    <n v="227.14792206918099"/>
    <x v="2"/>
  </r>
  <r>
    <x v="48"/>
    <x v="0"/>
    <n v="1019.08997211056"/>
    <n v="1"/>
    <n v="109.67029135562299"/>
    <x v="3"/>
  </r>
  <r>
    <x v="48"/>
    <x v="1"/>
    <n v="1285.45421888288"/>
    <n v="18"/>
    <n v="462.88965785387302"/>
    <x v="3"/>
  </r>
  <r>
    <x v="48"/>
    <x v="2"/>
    <n v="1216.5016192129699"/>
    <n v="8"/>
    <n v="159.64463948875701"/>
    <x v="1"/>
  </r>
  <r>
    <x v="48"/>
    <x v="3"/>
    <n v="661.284468634831"/>
    <n v="5"/>
    <n v="101.549090455738"/>
    <x v="0"/>
  </r>
  <r>
    <x v="48"/>
    <x v="5"/>
    <n v="1514.99733293641"/>
    <n v="3"/>
    <n v="262.02129953618498"/>
    <x v="2"/>
  </r>
  <r>
    <x v="49"/>
    <x v="0"/>
    <n v="1132.2904545583799"/>
    <n v="14"/>
    <n v="395.244053806024"/>
    <x v="3"/>
  </r>
  <r>
    <x v="49"/>
    <x v="1"/>
    <n v="492.02014758706298"/>
    <n v="18"/>
    <n v="51.121177256106698"/>
    <x v="1"/>
  </r>
  <r>
    <x v="49"/>
    <x v="2"/>
    <n v="729.84013444385596"/>
    <n v="1"/>
    <n v="118.501133165827"/>
    <x v="1"/>
  </r>
  <r>
    <x v="49"/>
    <x v="3"/>
    <n v="1410.21107641659"/>
    <n v="1"/>
    <n v="486.85149717435502"/>
    <x v="3"/>
  </r>
  <r>
    <x v="49"/>
    <x v="5"/>
    <n v="1287.4761478457699"/>
    <n v="11"/>
    <n v="228.94805960509001"/>
    <x v="2"/>
  </r>
  <r>
    <x v="50"/>
    <x v="0"/>
    <n v="901.200700504059"/>
    <n v="5"/>
    <n v="183.446290883057"/>
    <x v="3"/>
  </r>
  <r>
    <x v="50"/>
    <x v="1"/>
    <n v="970.95218878197602"/>
    <n v="9"/>
    <n v="224.13262129314401"/>
    <x v="3"/>
  </r>
  <r>
    <x v="50"/>
    <x v="2"/>
    <n v="893.49030170598201"/>
    <n v="14"/>
    <n v="215.61675420579601"/>
    <x v="3"/>
  </r>
  <r>
    <x v="50"/>
    <x v="3"/>
    <n v="1077.2419703747901"/>
    <n v="17"/>
    <n v="264.39127806471402"/>
    <x v="0"/>
  </r>
  <r>
    <x v="50"/>
    <x v="5"/>
    <n v="1092.34053066761"/>
    <n v="13"/>
    <n v="241.150571539661"/>
    <x v="0"/>
  </r>
  <r>
    <x v="51"/>
    <x v="0"/>
    <n v="486.949482203012"/>
    <n v="11"/>
    <n v="110.29950199240901"/>
    <x v="2"/>
  </r>
  <r>
    <x v="51"/>
    <x v="1"/>
    <n v="613.46578607280196"/>
    <n v="5"/>
    <n v="64.731193860660895"/>
    <x v="2"/>
  </r>
  <r>
    <x v="51"/>
    <x v="2"/>
    <n v="1030.24522667621"/>
    <n v="10"/>
    <n v="281.21052676724798"/>
    <x v="2"/>
  </r>
  <r>
    <x v="51"/>
    <x v="3"/>
    <n v="955.39107276633297"/>
    <n v="6"/>
    <n v="333.357480865502"/>
    <x v="1"/>
  </r>
  <r>
    <x v="51"/>
    <x v="5"/>
    <n v="796.22742498596801"/>
    <n v="10"/>
    <n v="113.068722644969"/>
    <x v="1"/>
  </r>
  <r>
    <x v="52"/>
    <x v="0"/>
    <n v="1486.1600335497601"/>
    <n v="7"/>
    <n v="404.21816104767203"/>
    <x v="0"/>
  </r>
  <r>
    <x v="52"/>
    <x v="1"/>
    <n v="1471.14839057834"/>
    <n v="14"/>
    <n v="167.843010987757"/>
    <x v="3"/>
  </r>
  <r>
    <x v="52"/>
    <x v="2"/>
    <n v="1044.1623488108801"/>
    <n v="11"/>
    <n v="194.84917396313301"/>
    <x v="3"/>
  </r>
  <r>
    <x v="52"/>
    <x v="3"/>
    <n v="933.23755830000005"/>
    <n v="4"/>
    <n v="294.63594930328901"/>
    <x v="1"/>
  </r>
  <r>
    <x v="52"/>
    <x v="5"/>
    <n v="1162.30056178108"/>
    <n v="15"/>
    <n v="448.91079087651201"/>
    <x v="2"/>
  </r>
  <r>
    <x v="53"/>
    <x v="0"/>
    <n v="1039.8808555667999"/>
    <n v="5"/>
    <n v="254.902336427085"/>
    <x v="2"/>
  </r>
  <r>
    <x v="53"/>
    <x v="1"/>
    <n v="827.30865212866695"/>
    <n v="13"/>
    <n v="121.11934533165601"/>
    <x v="0"/>
  </r>
  <r>
    <x v="53"/>
    <x v="2"/>
    <n v="1036.6029443936"/>
    <n v="2"/>
    <n v="136.81031335906499"/>
    <x v="0"/>
  </r>
  <r>
    <x v="53"/>
    <x v="3"/>
    <n v="686.22619934287002"/>
    <n v="11"/>
    <n v="191.790490299841"/>
    <x v="0"/>
  </r>
  <r>
    <x v="53"/>
    <x v="5"/>
    <n v="465.83299503685498"/>
    <n v="7"/>
    <n v="57.194985896438602"/>
    <x v="2"/>
  </r>
  <r>
    <x v="54"/>
    <x v="0"/>
    <n v="1189.72232171665"/>
    <n v="6"/>
    <n v="329.63541197242301"/>
    <x v="1"/>
  </r>
  <r>
    <x v="54"/>
    <x v="1"/>
    <n v="1291.7663348880101"/>
    <n v="5"/>
    <n v="164.667425249579"/>
    <x v="1"/>
  </r>
  <r>
    <x v="54"/>
    <x v="2"/>
    <n v="1065.2523717080601"/>
    <n v="12"/>
    <n v="279.70361799850002"/>
    <x v="3"/>
  </r>
  <r>
    <x v="54"/>
    <x v="3"/>
    <n v="1583.7613854483"/>
    <n v="19"/>
    <n v="506.2769887"/>
    <x v="0"/>
  </r>
  <r>
    <x v="54"/>
    <x v="5"/>
    <n v="1241.4409536201399"/>
    <n v="16"/>
    <n v="440.41197320881201"/>
    <x v="0"/>
  </r>
  <r>
    <x v="55"/>
    <x v="0"/>
    <n v="1279.07600378606"/>
    <n v="18"/>
    <n v="315.711118373548"/>
    <x v="1"/>
  </r>
  <r>
    <x v="55"/>
    <x v="1"/>
    <n v="915.00540530000001"/>
    <n v="15"/>
    <n v="103.62402479401599"/>
    <x v="3"/>
  </r>
  <r>
    <x v="55"/>
    <x v="2"/>
    <n v="0"/>
    <n v="7"/>
    <n v="414.445420297162"/>
    <x v="2"/>
  </r>
  <r>
    <x v="55"/>
    <x v="3"/>
    <n v="1245.5454203915599"/>
    <n v="14"/>
    <n v="169.589445857534"/>
    <x v="1"/>
  </r>
  <r>
    <x v="55"/>
    <x v="5"/>
    <n v="1040.1542959999999"/>
    <n v="9"/>
    <n v="164.11524149019399"/>
    <x v="3"/>
  </r>
  <r>
    <x v="56"/>
    <x v="0"/>
    <n v="1338.7208312605401"/>
    <n v="7"/>
    <n v="316.66518283843101"/>
    <x v="1"/>
  </r>
  <r>
    <x v="56"/>
    <x v="1"/>
    <n v="0"/>
    <n v="10"/>
    <n v="286.28666739233103"/>
    <x v="2"/>
  </r>
  <r>
    <x v="56"/>
    <x v="2"/>
    <n v="578.45202329999995"/>
    <n v="13"/>
    <n v="71.199322879999997"/>
    <x v="0"/>
  </r>
  <r>
    <x v="56"/>
    <x v="3"/>
    <n v="0"/>
    <n v="11"/>
    <n v="232.31947148864899"/>
    <x v="1"/>
  </r>
  <r>
    <x v="56"/>
    <x v="5"/>
    <n v="1433.2519235646901"/>
    <n v="17"/>
    <n v="374.82468387797701"/>
    <x v="2"/>
  </r>
  <r>
    <x v="57"/>
    <x v="0"/>
    <n v="428.64637844044802"/>
    <n v="13"/>
    <n v="123.350459386094"/>
    <x v="3"/>
  </r>
  <r>
    <x v="57"/>
    <x v="1"/>
    <n v="0"/>
    <n v="2"/>
    <n v="139.84267634714899"/>
    <x v="2"/>
  </r>
  <r>
    <x v="57"/>
    <x v="2"/>
    <n v="941.12164021711305"/>
    <n v="2"/>
    <n v="100.11729486950099"/>
    <x v="1"/>
  </r>
  <r>
    <x v="57"/>
    <x v="3"/>
    <n v="868.70029905918796"/>
    <n v="3"/>
    <n v="105.120477803675"/>
    <x v="2"/>
  </r>
  <r>
    <x v="57"/>
    <x v="5"/>
    <n v="644.09947143358795"/>
    <n v="17"/>
    <n v="142.07499384591799"/>
    <x v="0"/>
  </r>
  <r>
    <x v="58"/>
    <x v="0"/>
    <n v="1779.31139297031"/>
    <n v="12"/>
    <n v="703.22841779999999"/>
    <x v="2"/>
  </r>
  <r>
    <x v="58"/>
    <x v="1"/>
    <n v="804.88871677899101"/>
    <n v="7"/>
    <n v="206.659812172031"/>
    <x v="0"/>
  </r>
  <r>
    <x v="58"/>
    <x v="2"/>
    <n v="873.943954871242"/>
    <n v="14"/>
    <n v="165.26355602425801"/>
    <x v="2"/>
  </r>
  <r>
    <x v="58"/>
    <x v="3"/>
    <n v="915.46461734184697"/>
    <n v="4"/>
    <n v="288.065584309766"/>
    <x v="0"/>
  </r>
  <r>
    <x v="58"/>
    <x v="5"/>
    <n v="989.59453378396495"/>
    <n v="17"/>
    <n v="215.22596728153101"/>
    <x v="3"/>
  </r>
  <r>
    <x v="59"/>
    <x v="0"/>
    <n v="1070.26441976095"/>
    <n v="12"/>
    <n v="414.11174945570798"/>
    <x v="0"/>
  </r>
  <r>
    <x v="59"/>
    <x v="1"/>
    <n v="1295.2967195429701"/>
    <n v="14"/>
    <n v="362.99334898922598"/>
    <x v="2"/>
  </r>
  <r>
    <x v="59"/>
    <x v="2"/>
    <n v="935.80334673234699"/>
    <n v="13"/>
    <n v="371.28509941537698"/>
    <x v="1"/>
  </r>
  <r>
    <x v="59"/>
    <x v="3"/>
    <n v="1049.9356624639099"/>
    <n v="19"/>
    <n v="266.48055168191797"/>
    <x v="2"/>
  </r>
  <r>
    <x v="59"/>
    <x v="5"/>
    <n v="1147.7353792024401"/>
    <n v="11"/>
    <n v="175.555778246355"/>
    <x v="2"/>
  </r>
  <r>
    <x v="60"/>
    <x v="0"/>
    <n v="1140.5690480114499"/>
    <n v="15"/>
    <n v="188.07665030618799"/>
    <x v="0"/>
  </r>
  <r>
    <x v="60"/>
    <x v="1"/>
    <n v="1152.4569332476301"/>
    <n v="3"/>
    <n v="321.74548707118299"/>
    <x v="0"/>
  </r>
  <r>
    <x v="60"/>
    <x v="2"/>
    <n v="887.98021948702899"/>
    <n v="18"/>
    <n v="219.64714838076901"/>
    <x v="0"/>
  </r>
  <r>
    <x v="60"/>
    <x v="3"/>
    <n v="647.92893789636196"/>
    <n v="3"/>
    <n v="223.373460842388"/>
    <x v="2"/>
  </r>
  <r>
    <x v="60"/>
    <x v="5"/>
    <n v="1413.48243590071"/>
    <n v="9"/>
    <n v="520.83496519602397"/>
    <x v="0"/>
  </r>
  <r>
    <x v="61"/>
    <x v="0"/>
    <n v="1205.0757235603201"/>
    <n v="2"/>
    <n v="285.87966721734199"/>
    <x v="3"/>
  </r>
  <r>
    <x v="61"/>
    <x v="1"/>
    <n v="816.16339285468405"/>
    <n v="9"/>
    <n v="92.48192177"/>
    <x v="2"/>
  </r>
  <r>
    <x v="61"/>
    <x v="2"/>
    <n v="883.68953201920397"/>
    <n v="12"/>
    <n v="97.759666053159194"/>
    <x v="1"/>
  </r>
  <r>
    <x v="61"/>
    <x v="3"/>
    <n v="1197.56328180184"/>
    <n v="2"/>
    <n v="266.50089927242101"/>
    <x v="1"/>
  </r>
  <r>
    <x v="61"/>
    <x v="5"/>
    <n v="1603.0613616298999"/>
    <n v="6"/>
    <n v="285.22651244799499"/>
    <x v="0"/>
  </r>
  <r>
    <x v="62"/>
    <x v="0"/>
    <n v="1013.67764934101"/>
    <n v="5"/>
    <n v="168.32620210715999"/>
    <x v="0"/>
  </r>
  <r>
    <x v="62"/>
    <x v="1"/>
    <n v="810.70236103781497"/>
    <n v="5"/>
    <n v="322.20765463763598"/>
    <x v="2"/>
  </r>
  <r>
    <x v="62"/>
    <x v="2"/>
    <n v="0"/>
    <n v="19"/>
    <n v="0"/>
    <x v="3"/>
  </r>
  <r>
    <x v="62"/>
    <x v="3"/>
    <n v="738.93302735694601"/>
    <n v="8"/>
    <n v="224.19586119790799"/>
    <x v="1"/>
  </r>
  <r>
    <x v="62"/>
    <x v="5"/>
    <n v="1122.82402536073"/>
    <n v="19"/>
    <n v="404.719945135746"/>
    <x v="3"/>
  </r>
  <r>
    <x v="63"/>
    <x v="0"/>
    <n v="1191.3919810452301"/>
    <n v="1"/>
    <n v="175.37551818310999"/>
    <x v="3"/>
  </r>
  <r>
    <x v="63"/>
    <x v="1"/>
    <n v="1246.1446543592001"/>
    <n v="10"/>
    <n v="164.17984251795301"/>
    <x v="1"/>
  </r>
  <r>
    <x v="63"/>
    <x v="2"/>
    <n v="1152.18220933218"/>
    <n v="6"/>
    <n v="180.62352849999999"/>
    <x v="0"/>
  </r>
  <r>
    <x v="63"/>
    <x v="3"/>
    <n v="888.90298942081097"/>
    <n v="7"/>
    <n v="131.76028459497701"/>
    <x v="3"/>
  </r>
  <r>
    <x v="63"/>
    <x v="5"/>
    <n v="749.93230381621902"/>
    <n v="2"/>
    <n v="262.206520729641"/>
    <x v="0"/>
  </r>
  <r>
    <x v="64"/>
    <x v="0"/>
    <n v="765.37129441825903"/>
    <n v="13"/>
    <n v="218.19057566543799"/>
    <x v="0"/>
  </r>
  <r>
    <x v="64"/>
    <x v="1"/>
    <n v="815.49459659806098"/>
    <n v="9"/>
    <n v="236.1216149"/>
    <x v="1"/>
  </r>
  <r>
    <x v="64"/>
    <x v="2"/>
    <n v="933.64080048226003"/>
    <n v="19"/>
    <n v="306.522090072624"/>
    <x v="2"/>
  </r>
  <r>
    <x v="64"/>
    <x v="3"/>
    <n v="1056.91626506741"/>
    <n v="9"/>
    <n v="411.03220010927203"/>
    <x v="1"/>
  </r>
  <r>
    <x v="64"/>
    <x v="5"/>
    <n v="644.37399859590596"/>
    <n v="5"/>
    <n v="84.253780860000006"/>
    <x v="3"/>
  </r>
  <r>
    <x v="65"/>
    <x v="0"/>
    <n v="880.33225232393397"/>
    <n v="4"/>
    <n v="105.948970542319"/>
    <x v="1"/>
  </r>
  <r>
    <x v="65"/>
    <x v="1"/>
    <n v="1147.1258720000001"/>
    <n v="17"/>
    <n v="315.05942610035299"/>
    <x v="0"/>
  </r>
  <r>
    <x v="65"/>
    <x v="2"/>
    <n v="818.86592828137896"/>
    <n v="18"/>
    <n v="295.98813156854402"/>
    <x v="3"/>
  </r>
  <r>
    <x v="65"/>
    <x v="3"/>
    <n v="824.03557344359695"/>
    <n v="3"/>
    <n v="229.344557157927"/>
    <x v="3"/>
  </r>
  <r>
    <x v="65"/>
    <x v="5"/>
    <n v="1573.24137653763"/>
    <n v="7"/>
    <n v="188.29786746170601"/>
    <x v="0"/>
  </r>
  <r>
    <x v="66"/>
    <x v="0"/>
    <n v="960.688477900301"/>
    <n v="19"/>
    <n v="168.843521708422"/>
    <x v="1"/>
  </r>
  <r>
    <x v="66"/>
    <x v="1"/>
    <n v="389.427927812348"/>
    <n v="2"/>
    <n v="70.910152474515897"/>
    <x v="0"/>
  </r>
  <r>
    <x v="66"/>
    <x v="2"/>
    <n v="1026.68568178291"/>
    <n v="11"/>
    <n v="170.66686830518401"/>
    <x v="2"/>
  </r>
  <r>
    <x v="66"/>
    <x v="3"/>
    <n v="1349.7741146114199"/>
    <n v="15"/>
    <n v="410.53351434661698"/>
    <x v="2"/>
  </r>
  <r>
    <x v="66"/>
    <x v="5"/>
    <n v="1129.2520733001199"/>
    <n v="5"/>
    <n v="329.24223240669102"/>
    <x v="2"/>
  </r>
  <r>
    <x v="67"/>
    <x v="0"/>
    <n v="1072.9922992385"/>
    <n v="19"/>
    <n v="195.568470060126"/>
    <x v="1"/>
  </r>
  <r>
    <x v="67"/>
    <x v="1"/>
    <n v="665.02425872384504"/>
    <n v="6"/>
    <n v="112.38004326924001"/>
    <x v="0"/>
  </r>
  <r>
    <x v="67"/>
    <x v="2"/>
    <n v="648.59709708070795"/>
    <n v="3"/>
    <n v="70.917752441820099"/>
    <x v="0"/>
  </r>
  <r>
    <x v="67"/>
    <x v="3"/>
    <n v="1150.7266387571201"/>
    <n v="12"/>
    <n v="278.43323748183599"/>
    <x v="3"/>
  </r>
  <r>
    <x v="67"/>
    <x v="5"/>
    <n v="1516.24908913586"/>
    <n v="14"/>
    <n v="244.283459014882"/>
    <x v="0"/>
  </r>
  <r>
    <x v="68"/>
    <x v="0"/>
    <n v="1212.3146623748801"/>
    <n v="14"/>
    <n v="314.11838856900101"/>
    <x v="1"/>
  </r>
  <r>
    <x v="68"/>
    <x v="1"/>
    <n v="1216.7620240870201"/>
    <n v="3"/>
    <n v="412.53020375469498"/>
    <x v="3"/>
  </r>
  <r>
    <x v="68"/>
    <x v="2"/>
    <n v="1374.76053"/>
    <n v="14"/>
    <n v="384.24306550277601"/>
    <x v="2"/>
  </r>
  <r>
    <x v="68"/>
    <x v="3"/>
    <n v="1147.42137010584"/>
    <n v="12"/>
    <n v="199.95192751489401"/>
    <x v="0"/>
  </r>
  <r>
    <x v="68"/>
    <x v="5"/>
    <n v="987.95261480669603"/>
    <n v="2"/>
    <n v="335.18044116188599"/>
    <x v="1"/>
  </r>
  <r>
    <x v="69"/>
    <x v="0"/>
    <n v="570.76746936458505"/>
    <n v="13"/>
    <n v="82.689476400846999"/>
    <x v="0"/>
  </r>
  <r>
    <x v="69"/>
    <x v="1"/>
    <n v="948.08953639092397"/>
    <n v="14"/>
    <n v="372.03977284320803"/>
    <x v="2"/>
  </r>
  <r>
    <x v="69"/>
    <x v="2"/>
    <n v="793.55209296991802"/>
    <n v="11"/>
    <n v="244.80650839056099"/>
    <x v="0"/>
  </r>
  <r>
    <x v="69"/>
    <x v="3"/>
    <n v="1281.9544310588999"/>
    <n v="9"/>
    <n v="221.28264728609699"/>
    <x v="0"/>
  </r>
  <r>
    <x v="69"/>
    <x v="5"/>
    <n v="1253.8040634013801"/>
    <n v="14"/>
    <n v="178.97885360000001"/>
    <x v="3"/>
  </r>
  <r>
    <x v="70"/>
    <x v="0"/>
    <n v="558.24748658769704"/>
    <n v="1"/>
    <n v="149.55148993737399"/>
    <x v="3"/>
  </r>
  <r>
    <x v="70"/>
    <x v="1"/>
    <n v="973.09131195774205"/>
    <n v="18"/>
    <n v="192.61213001855"/>
    <x v="2"/>
  </r>
  <r>
    <x v="70"/>
    <x v="2"/>
    <n v="0"/>
    <n v="1"/>
    <n v="453.971936779788"/>
    <x v="2"/>
  </r>
  <r>
    <x v="70"/>
    <x v="3"/>
    <n v="1027.47572160812"/>
    <n v="7"/>
    <n v="143.656236707061"/>
    <x v="1"/>
  </r>
  <r>
    <x v="70"/>
    <x v="5"/>
    <n v="1189.63483038051"/>
    <n v="15"/>
    <n v="190.39519359688899"/>
    <x v="1"/>
  </r>
  <r>
    <x v="71"/>
    <x v="0"/>
    <n v="706.37000560000001"/>
    <n v="12"/>
    <n v="92.796076354245201"/>
    <x v="1"/>
  </r>
  <r>
    <x v="71"/>
    <x v="1"/>
    <n v="0"/>
    <n v="9"/>
    <n v="472.36354590000002"/>
    <x v="3"/>
  </r>
  <r>
    <x v="71"/>
    <x v="2"/>
    <n v="1414.9435002616799"/>
    <n v="8"/>
    <n v="444.61214899894298"/>
    <x v="2"/>
  </r>
  <r>
    <x v="71"/>
    <x v="3"/>
    <n v="1155.42008315352"/>
    <n v="7"/>
    <n v="344.59945909999999"/>
    <x v="3"/>
  </r>
  <r>
    <x v="71"/>
    <x v="5"/>
    <n v="1392.39599114203"/>
    <n v="4"/>
    <n v="388.816497894051"/>
    <x v="2"/>
  </r>
  <r>
    <x v="72"/>
    <x v="0"/>
    <n v="1622.57826178757"/>
    <n v="9"/>
    <n v="242.088424018159"/>
    <x v="2"/>
  </r>
  <r>
    <x v="72"/>
    <x v="1"/>
    <n v="793.24365457312899"/>
    <n v="11"/>
    <n v="251.813586243163"/>
    <x v="3"/>
  </r>
  <r>
    <x v="72"/>
    <x v="2"/>
    <n v="804.57459891566498"/>
    <n v="13"/>
    <n v="229.080576993476"/>
    <x v="1"/>
  </r>
  <r>
    <x v="72"/>
    <x v="3"/>
    <n v="0"/>
    <n v="14"/>
    <n v="171.880443402552"/>
    <x v="3"/>
  </r>
  <r>
    <x v="72"/>
    <x v="5"/>
    <n v="944.18304845713499"/>
    <n v="19"/>
    <n v="140.21284752101801"/>
    <x v="2"/>
  </r>
  <r>
    <x v="73"/>
    <x v="0"/>
    <n v="1312.8295527533201"/>
    <n v="18"/>
    <n v="388.56985448801998"/>
    <x v="0"/>
  </r>
  <r>
    <x v="73"/>
    <x v="1"/>
    <n v="661.65183384960801"/>
    <n v="3"/>
    <n v="109.945585219197"/>
    <x v="2"/>
  </r>
  <r>
    <x v="73"/>
    <x v="2"/>
    <n v="0"/>
    <n v="15"/>
    <n v="207.31960464831201"/>
    <x v="3"/>
  </r>
  <r>
    <x v="73"/>
    <x v="3"/>
    <n v="1339.3758371193201"/>
    <n v="5"/>
    <n v="272.93867478136798"/>
    <x v="3"/>
  </r>
  <r>
    <x v="73"/>
    <x v="5"/>
    <n v="917.57575144767395"/>
    <n v="18"/>
    <n v="330.42769811977399"/>
    <x v="3"/>
  </r>
  <r>
    <x v="74"/>
    <x v="0"/>
    <n v="877.16342650653803"/>
    <n v="2"/>
    <n v="215.782801520974"/>
    <x v="2"/>
  </r>
  <r>
    <x v="74"/>
    <x v="1"/>
    <n v="1022.98483163753"/>
    <n v="15"/>
    <n v="378.71978657710599"/>
    <x v="2"/>
  </r>
  <r>
    <x v="74"/>
    <x v="2"/>
    <n v="733.53677336582496"/>
    <n v="3"/>
    <n v="210.44434662314899"/>
    <x v="3"/>
  </r>
  <r>
    <x v="74"/>
    <x v="3"/>
    <n v="591.08810243466303"/>
    <n v="15"/>
    <n v="100.920980659699"/>
    <x v="2"/>
  </r>
  <r>
    <x v="74"/>
    <x v="5"/>
    <n v="1148.2090558848199"/>
    <n v="10"/>
    <n v="196.645724641258"/>
    <x v="2"/>
  </r>
  <r>
    <x v="75"/>
    <x v="0"/>
    <n v="1078.2021297471699"/>
    <n v="2"/>
    <n v="166.35913372867401"/>
    <x v="0"/>
  </r>
  <r>
    <x v="75"/>
    <x v="1"/>
    <n v="967.80220129999998"/>
    <n v="15"/>
    <n v="268.92853990038401"/>
    <x v="1"/>
  </r>
  <r>
    <x v="75"/>
    <x v="2"/>
    <n v="779.21442423999099"/>
    <n v="2"/>
    <n v="100.19018474592799"/>
    <x v="0"/>
  </r>
  <r>
    <x v="75"/>
    <x v="3"/>
    <n v="1112.2840166731901"/>
    <n v="2"/>
    <n v="397.52572069637802"/>
    <x v="0"/>
  </r>
  <r>
    <x v="75"/>
    <x v="5"/>
    <n v="973.94656686094197"/>
    <n v="1"/>
    <n v="323.39110528259403"/>
    <x v="3"/>
  </r>
  <r>
    <x v="76"/>
    <x v="0"/>
    <n v="578.11461142501503"/>
    <n v="11"/>
    <n v="211.07710282903699"/>
    <x v="2"/>
  </r>
  <r>
    <x v="76"/>
    <x v="1"/>
    <n v="834.211601528139"/>
    <n v="14"/>
    <n v="166.23068378116"/>
    <x v="0"/>
  </r>
  <r>
    <x v="76"/>
    <x v="2"/>
    <n v="1298.88004583414"/>
    <n v="1"/>
    <n v="305.01619672796397"/>
    <x v="3"/>
  </r>
  <r>
    <x v="76"/>
    <x v="3"/>
    <n v="851.87302505160596"/>
    <n v="11"/>
    <n v="327.60907410842799"/>
    <x v="0"/>
  </r>
  <r>
    <x v="76"/>
    <x v="5"/>
    <n v="895.40435967764199"/>
    <n v="11"/>
    <n v="287.35370839731598"/>
    <x v="0"/>
  </r>
  <r>
    <x v="77"/>
    <x v="0"/>
    <n v="895.22268870447101"/>
    <n v="12"/>
    <n v="216.99236748971899"/>
    <x v="0"/>
  </r>
  <r>
    <x v="77"/>
    <x v="1"/>
    <n v="859.68616835774196"/>
    <n v="15"/>
    <n v="309.90085990762799"/>
    <x v="3"/>
  </r>
  <r>
    <x v="77"/>
    <x v="2"/>
    <n v="1537.3431360587799"/>
    <n v="18"/>
    <n v="608.80001783071998"/>
    <x v="0"/>
  </r>
  <r>
    <x v="77"/>
    <x v="3"/>
    <n v="1218.28886309109"/>
    <n v="1"/>
    <n v="166.45843080253701"/>
    <x v="2"/>
  </r>
  <r>
    <x v="77"/>
    <x v="5"/>
    <n v="1015.58376574218"/>
    <n v="5"/>
    <n v="386.086868684281"/>
    <x v="0"/>
  </r>
  <r>
    <x v="78"/>
    <x v="0"/>
    <n v="1057.28132523199"/>
    <n v="12"/>
    <n v="152.780281353905"/>
    <x v="0"/>
  </r>
  <r>
    <x v="78"/>
    <x v="1"/>
    <n v="731.63103027586396"/>
    <n v="18"/>
    <n v="284.99633889118701"/>
    <x v="1"/>
  </r>
  <r>
    <x v="78"/>
    <x v="2"/>
    <n v="1020.32607182864"/>
    <n v="15"/>
    <n v="261.73303789465598"/>
    <x v="1"/>
  </r>
  <r>
    <x v="78"/>
    <x v="3"/>
    <n v="1120.0343423944601"/>
    <n v="12"/>
    <n v="290.84323405529"/>
    <x v="1"/>
  </r>
  <r>
    <x v="78"/>
    <x v="5"/>
    <n v="718.45962693824504"/>
    <n v="8"/>
    <n v="280.89875673656599"/>
    <x v="0"/>
  </r>
  <r>
    <x v="79"/>
    <x v="0"/>
    <n v="1193.2804478527901"/>
    <n v="8"/>
    <n v="175.23222358088401"/>
    <x v="2"/>
  </r>
  <r>
    <x v="79"/>
    <x v="1"/>
    <n v="942.7952798"/>
    <n v="2"/>
    <n v="281.41468503921101"/>
    <x v="1"/>
  </r>
  <r>
    <x v="79"/>
    <x v="2"/>
    <n v="1065.2298619539099"/>
    <n v="11"/>
    <n v="324.86784705197101"/>
    <x v="2"/>
  </r>
  <r>
    <x v="79"/>
    <x v="3"/>
    <n v="1200.5404388587301"/>
    <n v="15"/>
    <n v="325.56606657992802"/>
    <x v="3"/>
  </r>
  <r>
    <x v="79"/>
    <x v="5"/>
    <n v="844.93094110000004"/>
    <n v="8"/>
    <n v="286.138492224873"/>
    <x v="3"/>
  </r>
  <r>
    <x v="80"/>
    <x v="0"/>
    <n v="677.00184754669999"/>
    <n v="16"/>
    <n v="235.63162032358699"/>
    <x v="3"/>
  </r>
  <r>
    <x v="80"/>
    <x v="1"/>
    <n v="0"/>
    <n v="5"/>
    <n v="327.92937848588298"/>
    <x v="2"/>
  </r>
  <r>
    <x v="80"/>
    <x v="2"/>
    <n v="1301.5427719833999"/>
    <n v="9"/>
    <n v="165.48401614764001"/>
    <x v="1"/>
  </r>
  <r>
    <x v="80"/>
    <x v="3"/>
    <n v="924.28598696066501"/>
    <n v="9"/>
    <n v="122.683149801122"/>
    <x v="2"/>
  </r>
  <r>
    <x v="80"/>
    <x v="5"/>
    <n v="494.56438155386098"/>
    <n v="6"/>
    <n v="114.46776881056"/>
    <x v="2"/>
  </r>
  <r>
    <x v="81"/>
    <x v="0"/>
    <n v="719.88332417793299"/>
    <n v="18"/>
    <n v="261.58209416891998"/>
    <x v="1"/>
  </r>
  <r>
    <x v="81"/>
    <x v="1"/>
    <n v="1386.9269585126101"/>
    <n v="7"/>
    <n v="141.08874829819101"/>
    <x v="1"/>
  </r>
  <r>
    <x v="81"/>
    <x v="2"/>
    <n v="0"/>
    <n v="1"/>
    <n v="193.475091118476"/>
    <x v="1"/>
  </r>
  <r>
    <x v="81"/>
    <x v="3"/>
    <n v="394.13333530684901"/>
    <n v="1"/>
    <n v="67.500551705904499"/>
    <x v="0"/>
  </r>
  <r>
    <x v="81"/>
    <x v="5"/>
    <n v="1321.42027311211"/>
    <n v="3"/>
    <n v="222.23763518966001"/>
    <x v="2"/>
  </r>
  <r>
    <x v="82"/>
    <x v="0"/>
    <n v="0"/>
    <n v="14"/>
    <n v="183.929457591627"/>
    <x v="2"/>
  </r>
  <r>
    <x v="82"/>
    <x v="1"/>
    <n v="1093.6238256459001"/>
    <n v="9"/>
    <n v="233.965215918246"/>
    <x v="2"/>
  </r>
  <r>
    <x v="82"/>
    <x v="2"/>
    <n v="510.79798977541998"/>
    <n v="4"/>
    <n v="144.23480878948101"/>
    <x v="3"/>
  </r>
  <r>
    <x v="82"/>
    <x v="3"/>
    <n v="1051.29129147046"/>
    <n v="6"/>
    <n v="340.68431000235398"/>
    <x v="3"/>
  </r>
  <r>
    <x v="82"/>
    <x v="5"/>
    <n v="1227.6785769360199"/>
    <n v="4"/>
    <n v="464.197992911423"/>
    <x v="1"/>
  </r>
  <r>
    <x v="83"/>
    <x v="0"/>
    <n v="0"/>
    <n v="4"/>
    <n v="412.414536489451"/>
    <x v="2"/>
  </r>
  <r>
    <x v="83"/>
    <x v="1"/>
    <n v="859.95551626306496"/>
    <n v="4"/>
    <n v="152.24047938381"/>
    <x v="3"/>
  </r>
  <r>
    <x v="83"/>
    <x v="2"/>
    <n v="871.80259522954805"/>
    <n v="14"/>
    <n v="167.549116196174"/>
    <x v="1"/>
  </r>
  <r>
    <x v="83"/>
    <x v="3"/>
    <n v="1736.73285986876"/>
    <n v="10"/>
    <n v="491.66930707610499"/>
    <x v="2"/>
  </r>
  <r>
    <x v="83"/>
    <x v="5"/>
    <n v="1293.6680619738099"/>
    <n v="2"/>
    <n v="235.17229500033099"/>
    <x v="3"/>
  </r>
  <r>
    <x v="84"/>
    <x v="0"/>
    <n v="1027.4302382676899"/>
    <n v="7"/>
    <n v="312.68334752305702"/>
    <x v="2"/>
  </r>
  <r>
    <x v="84"/>
    <x v="1"/>
    <n v="1394.32072743084"/>
    <n v="7"/>
    <n v="359.10593008349298"/>
    <x v="1"/>
  </r>
  <r>
    <x v="84"/>
    <x v="2"/>
    <n v="1284.6819969512701"/>
    <n v="10"/>
    <n v="482.17422984383501"/>
    <x v="3"/>
  </r>
  <r>
    <x v="84"/>
    <x v="3"/>
    <n v="801.36624495267699"/>
    <n v="4"/>
    <n v="101.061650479302"/>
    <x v="2"/>
  </r>
  <r>
    <x v="84"/>
    <x v="5"/>
    <n v="826.31102344174803"/>
    <n v="10"/>
    <n v="110.470597674391"/>
    <x v="0"/>
  </r>
  <r>
    <x v="85"/>
    <x v="0"/>
    <n v="1019.1065180954801"/>
    <n v="9"/>
    <n v="344.58351129584503"/>
    <x v="1"/>
  </r>
  <r>
    <x v="85"/>
    <x v="1"/>
    <n v="579.21841846009102"/>
    <n v="10"/>
    <n v="214.31483287964099"/>
    <x v="3"/>
  </r>
  <r>
    <x v="85"/>
    <x v="2"/>
    <n v="1524.8730229560799"/>
    <n v="17"/>
    <n v="260.846559889422"/>
    <x v="0"/>
  </r>
  <r>
    <x v="85"/>
    <x v="3"/>
    <n v="1320.9551496103099"/>
    <n v="4"/>
    <n v="300.017283434295"/>
    <x v="2"/>
  </r>
  <r>
    <x v="85"/>
    <x v="5"/>
    <n v="726.11557809279702"/>
    <n v="18"/>
    <n v="239.61584665210901"/>
    <x v="2"/>
  </r>
  <r>
    <x v="86"/>
    <x v="0"/>
    <n v="1666.80868874052"/>
    <n v="15"/>
    <n v="284.30868386872402"/>
    <x v="3"/>
  </r>
  <r>
    <x v="86"/>
    <x v="1"/>
    <n v="628.65371677386497"/>
    <n v="2"/>
    <n v="152.05095922572599"/>
    <x v="0"/>
  </r>
  <r>
    <x v="86"/>
    <x v="2"/>
    <n v="1367.37533128784"/>
    <n v="11"/>
    <n v="231.88515434663401"/>
    <x v="2"/>
  </r>
  <r>
    <x v="86"/>
    <x v="3"/>
    <n v="1487.0189686897099"/>
    <n v="13"/>
    <n v="413.90117292666599"/>
    <x v="2"/>
  </r>
  <r>
    <x v="86"/>
    <x v="5"/>
    <n v="869.55227142692604"/>
    <n v="7"/>
    <n v="268.29458492533502"/>
    <x v="1"/>
  </r>
  <r>
    <x v="87"/>
    <x v="0"/>
    <n v="792.73587629999997"/>
    <n v="10"/>
    <n v="181.108346724043"/>
    <x v="1"/>
  </r>
  <r>
    <x v="87"/>
    <x v="1"/>
    <n v="1312.78265069094"/>
    <n v="4"/>
    <n v="416.54809477367797"/>
    <x v="2"/>
  </r>
  <r>
    <x v="87"/>
    <x v="2"/>
    <n v="844.04398253537295"/>
    <n v="7"/>
    <n v="280.042667415653"/>
    <x v="3"/>
  </r>
  <r>
    <x v="87"/>
    <x v="3"/>
    <n v="825.49572581540599"/>
    <n v="6"/>
    <n v="170.463952524897"/>
    <x v="3"/>
  </r>
  <r>
    <x v="87"/>
    <x v="5"/>
    <n v="695.57298079999998"/>
    <n v="13"/>
    <n v="177.87048787063699"/>
    <x v="2"/>
  </r>
  <r>
    <x v="88"/>
    <x v="0"/>
    <n v="843.72585419899406"/>
    <n v="8"/>
    <n v="307.13622939453802"/>
    <x v="2"/>
  </r>
  <r>
    <x v="88"/>
    <x v="1"/>
    <n v="1061.62857888144"/>
    <n v="3"/>
    <n v="275.90382315023101"/>
    <x v="0"/>
  </r>
  <r>
    <x v="88"/>
    <x v="2"/>
    <n v="592.82343079999998"/>
    <n v="2"/>
    <n v="236.08707510460599"/>
    <x v="2"/>
  </r>
  <r>
    <x v="88"/>
    <x v="3"/>
    <n v="943.27555930000005"/>
    <n v="6"/>
    <n v="252.17059541341001"/>
    <x v="2"/>
  </r>
  <r>
    <x v="88"/>
    <x v="5"/>
    <n v="414.66445754534197"/>
    <n v="12"/>
    <n v="52.509050752157698"/>
    <x v="0"/>
  </r>
  <r>
    <x v="89"/>
    <x v="0"/>
    <n v="811.321332643392"/>
    <n v="13"/>
    <n v="235.67912237360699"/>
    <x v="1"/>
  </r>
  <r>
    <x v="89"/>
    <x v="1"/>
    <n v="1050.8082472108199"/>
    <n v="16"/>
    <n v="105.470678708186"/>
    <x v="3"/>
  </r>
  <r>
    <x v="89"/>
    <x v="2"/>
    <n v="575.88565092850502"/>
    <n v="12"/>
    <n v="227.11254953904901"/>
    <x v="1"/>
  </r>
  <r>
    <x v="89"/>
    <x v="3"/>
    <n v="672.306170598226"/>
    <n v="5"/>
    <n v="215.91386129443001"/>
    <x v="3"/>
  </r>
  <r>
    <x v="89"/>
    <x v="5"/>
    <n v="0"/>
    <n v="12"/>
    <n v="156.66620738744101"/>
    <x v="2"/>
  </r>
  <r>
    <x v="90"/>
    <x v="0"/>
    <n v="1695.7988619944999"/>
    <n v="18"/>
    <n v="570.41687473221998"/>
    <x v="3"/>
  </r>
  <r>
    <x v="90"/>
    <x v="1"/>
    <n v="1117.9953518183099"/>
    <n v="1"/>
    <n v="315.885029481304"/>
    <x v="3"/>
  </r>
  <r>
    <x v="90"/>
    <x v="2"/>
    <n v="1212.4326030065699"/>
    <n v="14"/>
    <n v="164.035715650675"/>
    <x v="1"/>
  </r>
  <r>
    <x v="90"/>
    <x v="3"/>
    <n v="0"/>
    <n v="18"/>
    <n v="260.62269095281101"/>
    <x v="0"/>
  </r>
  <r>
    <x v="90"/>
    <x v="5"/>
    <n v="449.138388069011"/>
    <n v="4"/>
    <n v="162.58854495336701"/>
    <x v="2"/>
  </r>
  <r>
    <x v="91"/>
    <x v="0"/>
    <n v="1152.3973980737601"/>
    <n v="3"/>
    <n v="387.070449827826"/>
    <x v="1"/>
  </r>
  <r>
    <x v="91"/>
    <x v="1"/>
    <n v="1024.54880756426"/>
    <n v="3"/>
    <n v="309.712028994158"/>
    <x v="2"/>
  </r>
  <r>
    <x v="91"/>
    <x v="2"/>
    <n v="970.33310404265706"/>
    <n v="14"/>
    <n v="331.638138941151"/>
    <x v="3"/>
  </r>
  <r>
    <x v="91"/>
    <x v="3"/>
    <n v="0"/>
    <n v="15"/>
    <n v="259.20484236961499"/>
    <x v="2"/>
  </r>
  <r>
    <x v="91"/>
    <x v="5"/>
    <n v="843.27935973189199"/>
    <n v="2"/>
    <n v="140.89876711784601"/>
    <x v="2"/>
  </r>
  <r>
    <x v="92"/>
    <x v="0"/>
    <n v="1015.1607446782"/>
    <n v="2"/>
    <n v="141.876228108475"/>
    <x v="2"/>
  </r>
  <r>
    <x v="92"/>
    <x v="1"/>
    <n v="1051.14917051212"/>
    <n v="1"/>
    <n v="396.10155366889001"/>
    <x v="2"/>
  </r>
  <r>
    <x v="92"/>
    <x v="2"/>
    <n v="0"/>
    <n v="3"/>
    <n v="185.58813107585499"/>
    <x v="0"/>
  </r>
  <r>
    <x v="92"/>
    <x v="3"/>
    <n v="1279.53282922261"/>
    <n v="13"/>
    <n v="269.03499067967499"/>
    <x v="3"/>
  </r>
  <r>
    <x v="92"/>
    <x v="5"/>
    <n v="1285.2388901008401"/>
    <n v="15"/>
    <n v="499.87378812754997"/>
    <x v="3"/>
  </r>
  <r>
    <x v="93"/>
    <x v="0"/>
    <n v="0"/>
    <n v="12"/>
    <n v="0"/>
    <x v="3"/>
  </r>
  <r>
    <x v="93"/>
    <x v="1"/>
    <n v="1197.2558822487599"/>
    <n v="18"/>
    <n v="219.48787700302501"/>
    <x v="1"/>
  </r>
  <r>
    <x v="93"/>
    <x v="2"/>
    <n v="1042.6152832973801"/>
    <n v="6"/>
    <n v="104.365531118641"/>
    <x v="1"/>
  </r>
  <r>
    <x v="93"/>
    <x v="3"/>
    <n v="1459.2252497031"/>
    <n v="19"/>
    <n v="315.1025502"/>
    <x v="0"/>
  </r>
  <r>
    <x v="93"/>
    <x v="5"/>
    <n v="1365.6285555091899"/>
    <n v="19"/>
    <n v="215.13393489149499"/>
    <x v="0"/>
  </r>
  <r>
    <x v="94"/>
    <x v="0"/>
    <n v="1044.6002371606301"/>
    <n v="9"/>
    <n v="239.31911902152001"/>
    <x v="0"/>
  </r>
  <r>
    <x v="94"/>
    <x v="1"/>
    <n v="898.87420866458797"/>
    <n v="3"/>
    <n v="110.012265457967"/>
    <x v="3"/>
  </r>
  <r>
    <x v="94"/>
    <x v="2"/>
    <n v="815.97920093771802"/>
    <n v="16"/>
    <n v="250.90170459503699"/>
    <x v="0"/>
  </r>
  <r>
    <x v="94"/>
    <x v="3"/>
    <n v="909.25909405356094"/>
    <n v="4"/>
    <n v="263.64593711929001"/>
    <x v="3"/>
  </r>
  <r>
    <x v="94"/>
    <x v="5"/>
    <n v="1131.0814509239001"/>
    <n v="4"/>
    <n v="291.94619220186502"/>
    <x v="1"/>
  </r>
  <r>
    <x v="95"/>
    <x v="0"/>
    <n v="1357.1938824358999"/>
    <n v="18"/>
    <n v="188.93918534839699"/>
    <x v="3"/>
  </r>
  <r>
    <x v="95"/>
    <x v="1"/>
    <n v="0"/>
    <n v="3"/>
    <n v="318.51161985844101"/>
    <x v="3"/>
  </r>
  <r>
    <x v="95"/>
    <x v="2"/>
    <n v="682.18433685725699"/>
    <n v="14"/>
    <n v="104.41932562828499"/>
    <x v="0"/>
  </r>
  <r>
    <x v="95"/>
    <x v="3"/>
    <n v="827.04687978198399"/>
    <n v="6"/>
    <n v="147.16799906381601"/>
    <x v="2"/>
  </r>
  <r>
    <x v="95"/>
    <x v="5"/>
    <n v="222.687312356527"/>
    <n v="7"/>
    <n v="63.618304112298198"/>
    <x v="0"/>
  </r>
  <r>
    <x v="96"/>
    <x v="0"/>
    <n v="995.40704524810099"/>
    <n v="3"/>
    <n v="178.92973284868501"/>
    <x v="1"/>
  </r>
  <r>
    <x v="96"/>
    <x v="1"/>
    <n v="0"/>
    <n v="4"/>
    <n v="421.85699999893899"/>
    <x v="3"/>
  </r>
  <r>
    <x v="96"/>
    <x v="2"/>
    <n v="948.11618202297302"/>
    <n v="9"/>
    <n v="269.47774666593699"/>
    <x v="0"/>
  </r>
  <r>
    <x v="96"/>
    <x v="3"/>
    <n v="1513.5125440427"/>
    <n v="6"/>
    <n v="329.51910029999999"/>
    <x v="2"/>
  </r>
  <r>
    <x v="96"/>
    <x v="5"/>
    <n v="0"/>
    <n v="1"/>
    <n v="273.88468776706497"/>
    <x v="3"/>
  </r>
  <r>
    <x v="97"/>
    <x v="0"/>
    <n v="1311.97140621882"/>
    <n v="1"/>
    <n v="462.15698117454298"/>
    <x v="2"/>
  </r>
  <r>
    <x v="97"/>
    <x v="1"/>
    <n v="1242.6787601413801"/>
    <n v="11"/>
    <n v="308.97421770563898"/>
    <x v="3"/>
  </r>
  <r>
    <x v="97"/>
    <x v="2"/>
    <n v="786.86423504951404"/>
    <n v="8"/>
    <n v="132.26354368946599"/>
    <x v="0"/>
  </r>
  <r>
    <x v="97"/>
    <x v="3"/>
    <n v="1009.6012449999999"/>
    <n v="19"/>
    <n v="132.972605133613"/>
    <x v="3"/>
  </r>
  <r>
    <x v="97"/>
    <x v="5"/>
    <n v="773.97463889614403"/>
    <n v="1"/>
    <n v="180.32210222558001"/>
    <x v="3"/>
  </r>
  <r>
    <x v="98"/>
    <x v="0"/>
    <n v="0"/>
    <n v="3"/>
    <n v="92.274782204987901"/>
    <x v="0"/>
  </r>
  <r>
    <x v="98"/>
    <x v="1"/>
    <n v="1055.40409175947"/>
    <n v="8"/>
    <n v="217.38730376180899"/>
    <x v="2"/>
  </r>
  <r>
    <x v="98"/>
    <x v="2"/>
    <n v="677.001719642701"/>
    <n v="5"/>
    <n v="201.80799498103701"/>
    <x v="3"/>
  </r>
  <r>
    <x v="98"/>
    <x v="3"/>
    <n v="466.41075003705799"/>
    <n v="8"/>
    <n v="83.727226032618503"/>
    <x v="2"/>
  </r>
  <r>
    <x v="98"/>
    <x v="5"/>
    <n v="1008.93377897038"/>
    <n v="17"/>
    <n v="190.318642642246"/>
    <x v="3"/>
  </r>
  <r>
    <x v="99"/>
    <x v="0"/>
    <n v="745.60603670339901"/>
    <n v="8"/>
    <n v="214.286482024268"/>
    <x v="2"/>
  </r>
  <r>
    <x v="99"/>
    <x v="1"/>
    <n v="741.58488929297596"/>
    <n v="9"/>
    <n v="217.41138830257"/>
    <x v="2"/>
  </r>
  <r>
    <x v="99"/>
    <x v="2"/>
    <n v="735.86141055327801"/>
    <n v="18"/>
    <n v="144.71792751539701"/>
    <x v="3"/>
  </r>
  <r>
    <x v="99"/>
    <x v="3"/>
    <n v="1436.68560702433"/>
    <n v="16"/>
    <n v="493.545951932322"/>
    <x v="3"/>
  </r>
  <r>
    <x v="99"/>
    <x v="5"/>
    <n v="1539.7814725056901"/>
    <n v="2"/>
    <n v="213.14998433900899"/>
    <x v="1"/>
  </r>
  <r>
    <x v="100"/>
    <x v="0"/>
    <n v="1068.9863343526599"/>
    <n v="9"/>
    <n v="226.251072208967"/>
    <x v="1"/>
  </r>
  <r>
    <x v="100"/>
    <x v="1"/>
    <n v="727.50936071025797"/>
    <n v="14"/>
    <n v="168.652309014678"/>
    <x v="0"/>
  </r>
  <r>
    <x v="100"/>
    <x v="2"/>
    <n v="846.56483333492997"/>
    <n v="12"/>
    <n v="134.80795503454601"/>
    <x v="2"/>
  </r>
  <r>
    <x v="100"/>
    <x v="3"/>
    <n v="771.879977700008"/>
    <n v="17"/>
    <n v="226.734528471218"/>
    <x v="1"/>
  </r>
  <r>
    <x v="100"/>
    <x v="5"/>
    <n v="636.26281634523104"/>
    <n v="7"/>
    <n v="225.20796079803199"/>
    <x v="0"/>
  </r>
  <r>
    <x v="101"/>
    <x v="0"/>
    <n v="1340.6455049088299"/>
    <n v="15"/>
    <n v="235.514287445593"/>
    <x v="0"/>
  </r>
  <r>
    <x v="101"/>
    <x v="1"/>
    <n v="1111.748713"/>
    <n v="12"/>
    <n v="129.13790898704499"/>
    <x v="3"/>
  </r>
  <r>
    <x v="101"/>
    <x v="2"/>
    <n v="1479.73670054481"/>
    <n v="11"/>
    <n v="267.53549206534802"/>
    <x v="3"/>
  </r>
  <r>
    <x v="101"/>
    <x v="3"/>
    <n v="1119.90638552579"/>
    <n v="18"/>
    <n v="183.72446130667601"/>
    <x v="1"/>
  </r>
  <r>
    <x v="101"/>
    <x v="5"/>
    <n v="804.592931862451"/>
    <n v="12"/>
    <n v="257.34137619928799"/>
    <x v="1"/>
  </r>
  <r>
    <x v="102"/>
    <x v="0"/>
    <n v="1241.03374370967"/>
    <n v="3"/>
    <n v="234.883674913531"/>
    <x v="1"/>
  </r>
  <r>
    <x v="102"/>
    <x v="1"/>
    <n v="1255.650036"/>
    <n v="7"/>
    <n v="342.983111563867"/>
    <x v="0"/>
  </r>
  <r>
    <x v="102"/>
    <x v="2"/>
    <n v="813.28654150275895"/>
    <n v="10"/>
    <n v="217.48314794004401"/>
    <x v="3"/>
  </r>
  <r>
    <x v="102"/>
    <x v="3"/>
    <n v="1143.42699898823"/>
    <n v="1"/>
    <n v="368.770778881556"/>
    <x v="1"/>
  </r>
  <r>
    <x v="102"/>
    <x v="5"/>
    <n v="1386.3947421405801"/>
    <n v="11"/>
    <n v="267.96054433661902"/>
    <x v="0"/>
  </r>
  <r>
    <x v="103"/>
    <x v="0"/>
    <n v="873.15641170000004"/>
    <n v="14"/>
    <n v="248.67113478526699"/>
    <x v="1"/>
  </r>
  <r>
    <x v="103"/>
    <x v="1"/>
    <n v="703.87546891359295"/>
    <n v="9"/>
    <n v="187.419481147065"/>
    <x v="2"/>
  </r>
  <r>
    <x v="103"/>
    <x v="2"/>
    <n v="1446.0241407399301"/>
    <n v="10"/>
    <n v="474.72571699999997"/>
    <x v="2"/>
  </r>
  <r>
    <x v="103"/>
    <x v="3"/>
    <n v="1248.0983167351901"/>
    <n v="11"/>
    <n v="407.97762562971099"/>
    <x v="1"/>
  </r>
  <r>
    <x v="103"/>
    <x v="5"/>
    <n v="1239.3408019148201"/>
    <n v="6"/>
    <n v="449.874797640503"/>
    <x v="0"/>
  </r>
  <r>
    <x v="104"/>
    <x v="0"/>
    <n v="0"/>
    <n v="4"/>
    <n v="289.30405032633797"/>
    <x v="3"/>
  </r>
  <r>
    <x v="104"/>
    <x v="1"/>
    <n v="717.52314479480594"/>
    <n v="3"/>
    <n v="101.41965048832201"/>
    <x v="2"/>
  </r>
  <r>
    <x v="104"/>
    <x v="2"/>
    <n v="1504.3276944791401"/>
    <n v="10"/>
    <n v="430.05238931136103"/>
    <x v="3"/>
  </r>
  <r>
    <x v="104"/>
    <x v="3"/>
    <n v="774.72833506596498"/>
    <n v="13"/>
    <n v="99.085578576664801"/>
    <x v="1"/>
  </r>
  <r>
    <x v="104"/>
    <x v="5"/>
    <n v="1008.71403171452"/>
    <n v="3"/>
    <n v="120.49702240008"/>
    <x v="3"/>
  </r>
  <r>
    <x v="105"/>
    <x v="0"/>
    <n v="0"/>
    <n v="4"/>
    <n v="153.21088839887699"/>
    <x v="3"/>
  </r>
  <r>
    <x v="105"/>
    <x v="1"/>
    <n v="1307.2187577434299"/>
    <n v="19"/>
    <n v="326.12062797645598"/>
    <x v="2"/>
  </r>
  <r>
    <x v="105"/>
    <x v="2"/>
    <n v="1177.7580847603499"/>
    <n v="19"/>
    <n v="138.463457562233"/>
    <x v="0"/>
  </r>
  <r>
    <x v="105"/>
    <x v="3"/>
    <n v="0"/>
    <n v="19"/>
    <n v="270.57738754968602"/>
    <x v="3"/>
  </r>
  <r>
    <x v="105"/>
    <x v="5"/>
    <n v="851.87201729186302"/>
    <n v="17"/>
    <n v="196.10588763106799"/>
    <x v="2"/>
  </r>
  <r>
    <x v="106"/>
    <x v="0"/>
    <n v="825.20893771016404"/>
    <n v="15"/>
    <n v="329.67448057366499"/>
    <x v="3"/>
  </r>
  <r>
    <x v="106"/>
    <x v="1"/>
    <n v="948.62524736887406"/>
    <n v="13"/>
    <n v="144.23279824612101"/>
    <x v="2"/>
  </r>
  <r>
    <x v="106"/>
    <x v="2"/>
    <n v="1366.3101086576"/>
    <n v="15"/>
    <n v="304.64816917982603"/>
    <x v="2"/>
  </r>
  <r>
    <x v="106"/>
    <x v="3"/>
    <n v="0"/>
    <n v="11"/>
    <n v="378.22584097563799"/>
    <x v="2"/>
  </r>
  <r>
    <x v="106"/>
    <x v="5"/>
    <n v="623.99554206343396"/>
    <n v="10"/>
    <n v="125.01962008980099"/>
    <x v="0"/>
  </r>
  <r>
    <x v="107"/>
    <x v="0"/>
    <n v="1104.59330330026"/>
    <n v="11"/>
    <n v="118.47594844685"/>
    <x v="2"/>
  </r>
  <r>
    <x v="107"/>
    <x v="1"/>
    <n v="1503.9375055251801"/>
    <n v="13"/>
    <n v="503.48004969924301"/>
    <x v="1"/>
  </r>
  <r>
    <x v="107"/>
    <x v="2"/>
    <n v="1220.4680510423"/>
    <n v="10"/>
    <n v="434.26499645029099"/>
    <x v="2"/>
  </r>
  <r>
    <x v="107"/>
    <x v="3"/>
    <n v="1154.0800319709101"/>
    <n v="10"/>
    <n v="439.94221912409699"/>
    <x v="3"/>
  </r>
  <r>
    <x v="107"/>
    <x v="5"/>
    <n v="840.18974810142595"/>
    <n v="6"/>
    <n v="243.10990662075599"/>
    <x v="2"/>
  </r>
  <r>
    <x v="108"/>
    <x v="0"/>
    <n v="991.74552848480903"/>
    <n v="1"/>
    <n v="331.306397925152"/>
    <x v="3"/>
  </r>
  <r>
    <x v="108"/>
    <x v="1"/>
    <n v="1531.6754790009199"/>
    <n v="6"/>
    <n v="179.48797470207501"/>
    <x v="2"/>
  </r>
  <r>
    <x v="108"/>
    <x v="2"/>
    <n v="700.48436824351199"/>
    <n v="4"/>
    <n v="72.864935917093007"/>
    <x v="3"/>
  </r>
  <r>
    <x v="108"/>
    <x v="3"/>
    <n v="1090.53756994583"/>
    <n v="12"/>
    <n v="123.643483897286"/>
    <x v="2"/>
  </r>
  <r>
    <x v="108"/>
    <x v="5"/>
    <n v="736.605223973031"/>
    <n v="14"/>
    <n v="128.80563272683199"/>
    <x v="3"/>
  </r>
  <r>
    <x v="109"/>
    <x v="0"/>
    <n v="751.93589380000003"/>
    <n v="16"/>
    <n v="246.49923273650501"/>
    <x v="2"/>
  </r>
  <r>
    <x v="109"/>
    <x v="1"/>
    <n v="855.93928775589404"/>
    <n v="9"/>
    <n v="210.79333084851501"/>
    <x v="3"/>
  </r>
  <r>
    <x v="109"/>
    <x v="2"/>
    <n v="0"/>
    <n v="11"/>
    <n v="144.24512485193301"/>
    <x v="2"/>
  </r>
  <r>
    <x v="109"/>
    <x v="3"/>
    <n v="415.634008820958"/>
    <n v="18"/>
    <n v="92.822994877375606"/>
    <x v="1"/>
  </r>
  <r>
    <x v="109"/>
    <x v="5"/>
    <n v="1235.1156345443601"/>
    <n v="6"/>
    <n v="456.93103357725198"/>
    <x v="2"/>
  </r>
  <r>
    <x v="110"/>
    <x v="0"/>
    <n v="0"/>
    <n v="15"/>
    <n v="403.06894183964602"/>
    <x v="0"/>
  </r>
  <r>
    <x v="110"/>
    <x v="1"/>
    <n v="1506.9680369878799"/>
    <n v="10"/>
    <n v="524.96815783187003"/>
    <x v="3"/>
  </r>
  <r>
    <x v="110"/>
    <x v="2"/>
    <n v="1265.3820369588"/>
    <n v="18"/>
    <n v="181.56906330000001"/>
    <x v="1"/>
  </r>
  <r>
    <x v="110"/>
    <x v="3"/>
    <n v="724.245958383784"/>
    <n v="5"/>
    <n v="195.25604144604699"/>
    <x v="1"/>
  </r>
  <r>
    <x v="110"/>
    <x v="5"/>
    <n v="1092.1193549710699"/>
    <n v="12"/>
    <n v="223.722737589628"/>
    <x v="0"/>
  </r>
  <r>
    <x v="111"/>
    <x v="0"/>
    <n v="0"/>
    <n v="1"/>
    <n v="139.64327688579499"/>
    <x v="3"/>
  </r>
  <r>
    <x v="111"/>
    <x v="1"/>
    <n v="753.06458159557599"/>
    <n v="1"/>
    <n v="193.55060546507599"/>
    <x v="0"/>
  </r>
  <r>
    <x v="111"/>
    <x v="2"/>
    <n v="950.74617651384801"/>
    <n v="2"/>
    <n v="210.298744045479"/>
    <x v="1"/>
  </r>
  <r>
    <x v="111"/>
    <x v="3"/>
    <n v="1052.93246658316"/>
    <n v="17"/>
    <n v="298.89599010199402"/>
    <x v="2"/>
  </r>
  <r>
    <x v="111"/>
    <x v="5"/>
    <n v="0"/>
    <n v="6"/>
    <n v="315.088935695609"/>
    <x v="2"/>
  </r>
  <r>
    <x v="112"/>
    <x v="0"/>
    <n v="1130.9679412472999"/>
    <n v="2"/>
    <n v="405.56066187876098"/>
    <x v="1"/>
  </r>
  <r>
    <x v="112"/>
    <x v="1"/>
    <n v="1271.18045232585"/>
    <n v="7"/>
    <n v="335.12074437226801"/>
    <x v="3"/>
  </r>
  <r>
    <x v="112"/>
    <x v="2"/>
    <n v="909.32509722354303"/>
    <n v="10"/>
    <n v="357.74535703817799"/>
    <x v="1"/>
  </r>
  <r>
    <x v="112"/>
    <x v="3"/>
    <n v="1067.05333189874"/>
    <n v="17"/>
    <n v="171.16510158545199"/>
    <x v="1"/>
  </r>
  <r>
    <x v="112"/>
    <x v="5"/>
    <n v="1038.5355212793199"/>
    <n v="4"/>
    <n v="339.62754795971102"/>
    <x v="2"/>
  </r>
  <r>
    <x v="113"/>
    <x v="0"/>
    <n v="1319.75829962849"/>
    <n v="15"/>
    <n v="213.09395856250799"/>
    <x v="0"/>
  </r>
  <r>
    <x v="113"/>
    <x v="1"/>
    <n v="707.78913306463596"/>
    <n v="14"/>
    <n v="121.48412233632099"/>
    <x v="0"/>
  </r>
  <r>
    <x v="113"/>
    <x v="2"/>
    <n v="1137.8491918212001"/>
    <n v="8"/>
    <n v="450.01582443976298"/>
    <x v="2"/>
  </r>
  <r>
    <x v="113"/>
    <x v="3"/>
    <n v="1548.5780839194899"/>
    <n v="3"/>
    <n v="577.25735366814604"/>
    <x v="0"/>
  </r>
  <r>
    <x v="113"/>
    <x v="5"/>
    <n v="1605.68983333595"/>
    <n v="10"/>
    <n v="400.36872825103598"/>
    <x v="2"/>
  </r>
  <r>
    <x v="114"/>
    <x v="0"/>
    <n v="758.99086118191804"/>
    <n v="18"/>
    <n v="97.167825245427693"/>
    <x v="0"/>
  </r>
  <r>
    <x v="114"/>
    <x v="1"/>
    <n v="361.00693732511502"/>
    <n v="19"/>
    <n v="57.285585104769297"/>
    <x v="3"/>
  </r>
  <r>
    <x v="114"/>
    <x v="2"/>
    <n v="450.76946548154001"/>
    <n v="9"/>
    <n v="123.185382389333"/>
    <x v="0"/>
  </r>
  <r>
    <x v="114"/>
    <x v="3"/>
    <n v="1060.1955411867"/>
    <n v="8"/>
    <n v="359.80306440102299"/>
    <x v="1"/>
  </r>
  <r>
    <x v="114"/>
    <x v="5"/>
    <n v="172.120780218134"/>
    <n v="6"/>
    <n v="58.173106788110502"/>
    <x v="1"/>
  </r>
  <r>
    <x v="115"/>
    <x v="0"/>
    <n v="1319.0124548712699"/>
    <n v="16"/>
    <n v="471.09028029872701"/>
    <x v="1"/>
  </r>
  <r>
    <x v="115"/>
    <x v="1"/>
    <n v="1763.10036859045"/>
    <n v="8"/>
    <n v="649.16811302833105"/>
    <x v="3"/>
  </r>
  <r>
    <x v="115"/>
    <x v="2"/>
    <n v="1054.8420727616001"/>
    <n v="16"/>
    <n v="153.61800649318999"/>
    <x v="3"/>
  </r>
  <r>
    <x v="115"/>
    <x v="3"/>
    <n v="742.19791489020599"/>
    <n v="1"/>
    <n v="167.23818981116099"/>
    <x v="1"/>
  </r>
  <r>
    <x v="115"/>
    <x v="5"/>
    <n v="1342.7155431922299"/>
    <n v="13"/>
    <n v="264.38520132871997"/>
    <x v="3"/>
  </r>
  <r>
    <x v="116"/>
    <x v="0"/>
    <n v="943.85672049863501"/>
    <n v="5"/>
    <n v="252.88442120168199"/>
    <x v="0"/>
  </r>
  <r>
    <x v="116"/>
    <x v="1"/>
    <n v="1295.7189987039501"/>
    <n v="4"/>
    <n v="409.19594645746503"/>
    <x v="2"/>
  </r>
  <r>
    <x v="116"/>
    <x v="2"/>
    <n v="842.80102799999997"/>
    <n v="3"/>
    <n v="131.665396537757"/>
    <x v="0"/>
  </r>
  <r>
    <x v="116"/>
    <x v="3"/>
    <n v="622.83661754273805"/>
    <n v="9"/>
    <n v="215.32648631215301"/>
    <x v="2"/>
  </r>
  <r>
    <x v="116"/>
    <x v="5"/>
    <n v="1085.7954822167301"/>
    <n v="11"/>
    <n v="402.16648921339799"/>
    <x v="3"/>
  </r>
  <r>
    <x v="117"/>
    <x v="0"/>
    <n v="871.34711931086804"/>
    <n v="12"/>
    <n v="169.231502632706"/>
    <x v="3"/>
  </r>
  <r>
    <x v="117"/>
    <x v="1"/>
    <n v="1389.09836396833"/>
    <n v="16"/>
    <n v="435.62708962603398"/>
    <x v="3"/>
  </r>
  <r>
    <x v="117"/>
    <x v="2"/>
    <n v="993.13958131033496"/>
    <n v="1"/>
    <n v="170.782500903921"/>
    <x v="3"/>
  </r>
  <r>
    <x v="117"/>
    <x v="3"/>
    <n v="1074.75956282069"/>
    <n v="18"/>
    <n v="348.918436245061"/>
    <x v="0"/>
  </r>
  <r>
    <x v="117"/>
    <x v="5"/>
    <n v="1126.4420349627701"/>
    <n v="16"/>
    <n v="307.71571191888899"/>
    <x v="0"/>
  </r>
  <r>
    <x v="118"/>
    <x v="0"/>
    <n v="969.09303958083501"/>
    <n v="15"/>
    <n v="170.74688889999999"/>
    <x v="0"/>
  </r>
  <r>
    <x v="118"/>
    <x v="1"/>
    <n v="1367.53970445036"/>
    <n v="16"/>
    <n v="180.38275083722701"/>
    <x v="1"/>
  </r>
  <r>
    <x v="118"/>
    <x v="2"/>
    <n v="860.61481081048203"/>
    <n v="7"/>
    <n v="129.21236641085201"/>
    <x v="3"/>
  </r>
  <r>
    <x v="118"/>
    <x v="3"/>
    <n v="1060.3478967618501"/>
    <n v="1"/>
    <n v="372.30122867254198"/>
    <x v="1"/>
  </r>
  <r>
    <x v="118"/>
    <x v="5"/>
    <n v="932.72345237272896"/>
    <n v="15"/>
    <n v="178.703473761721"/>
    <x v="1"/>
  </r>
  <r>
    <x v="119"/>
    <x v="0"/>
    <n v="821.74697538101202"/>
    <n v="3"/>
    <n v="270.31086323950302"/>
    <x v="0"/>
  </r>
  <r>
    <x v="119"/>
    <x v="1"/>
    <n v="1154.1723548976699"/>
    <n v="12"/>
    <n v="196.01187237675299"/>
    <x v="0"/>
  </r>
  <r>
    <x v="119"/>
    <x v="2"/>
    <n v="1053.87453458187"/>
    <n v="3"/>
    <n v="124.070717229043"/>
    <x v="1"/>
  </r>
  <r>
    <x v="119"/>
    <x v="3"/>
    <n v="1122.94559707855"/>
    <n v="2"/>
    <n v="262.90027607795002"/>
    <x v="2"/>
  </r>
  <r>
    <x v="119"/>
    <x v="5"/>
    <n v="927.622703614437"/>
    <n v="14"/>
    <n v="333.35892023506602"/>
    <x v="3"/>
  </r>
  <r>
    <x v="120"/>
    <x v="0"/>
    <n v="928.5164618"/>
    <n v="14"/>
    <n v="226.298978161701"/>
    <x v="0"/>
  </r>
  <r>
    <x v="120"/>
    <x v="1"/>
    <n v="695.87860257524005"/>
    <n v="8"/>
    <n v="224.05289393721"/>
    <x v="2"/>
  </r>
  <r>
    <x v="120"/>
    <x v="2"/>
    <n v="0"/>
    <n v="13"/>
    <n v="451.93708782713298"/>
    <x v="1"/>
  </r>
  <r>
    <x v="120"/>
    <x v="3"/>
    <n v="1265.4253164289901"/>
    <n v="9"/>
    <n v="242.23445703622301"/>
    <x v="1"/>
  </r>
  <r>
    <x v="120"/>
    <x v="5"/>
    <n v="1659.8579893484"/>
    <n v="14"/>
    <n v="274.76119763310498"/>
    <x v="0"/>
  </r>
  <r>
    <x v="121"/>
    <x v="0"/>
    <n v="0"/>
    <n v="4"/>
    <n v="149.54357961277699"/>
    <x v="2"/>
  </r>
  <r>
    <x v="121"/>
    <x v="1"/>
    <n v="1025.75211901795"/>
    <n v="14"/>
    <n v="286.70514913639801"/>
    <x v="1"/>
  </r>
  <r>
    <x v="121"/>
    <x v="2"/>
    <n v="825.99159925346805"/>
    <n v="9"/>
    <n v="156.918359893446"/>
    <x v="2"/>
  </r>
  <r>
    <x v="121"/>
    <x v="3"/>
    <n v="803.30908610594395"/>
    <n v="8"/>
    <n v="291.74461210206999"/>
    <x v="0"/>
  </r>
  <r>
    <x v="121"/>
    <x v="5"/>
    <n v="1044.6252688705599"/>
    <n v="14"/>
    <n v="211.141490577301"/>
    <x v="3"/>
  </r>
  <r>
    <x v="122"/>
    <x v="0"/>
    <n v="0"/>
    <n v="12"/>
    <n v="335.38739134748198"/>
    <x v="3"/>
  </r>
  <r>
    <x v="122"/>
    <x v="1"/>
    <n v="805.20060642388103"/>
    <n v="14"/>
    <n v="287.22216474414802"/>
    <x v="1"/>
  </r>
  <r>
    <x v="122"/>
    <x v="2"/>
    <n v="632.21999050473903"/>
    <n v="5"/>
    <n v="176.82785507617501"/>
    <x v="0"/>
  </r>
  <r>
    <x v="122"/>
    <x v="3"/>
    <n v="0"/>
    <n v="9"/>
    <n v="460.82518670000002"/>
    <x v="3"/>
  </r>
  <r>
    <x v="122"/>
    <x v="5"/>
    <n v="844.62620500000003"/>
    <n v="12"/>
    <n v="202.14436503285199"/>
    <x v="1"/>
  </r>
  <r>
    <x v="123"/>
    <x v="0"/>
    <n v="1072.3145431324399"/>
    <n v="9"/>
    <n v="216.86994373699901"/>
    <x v="3"/>
  </r>
  <r>
    <x v="123"/>
    <x v="1"/>
    <n v="1631.5607203623999"/>
    <n v="19"/>
    <n v="381.08989234561801"/>
    <x v="0"/>
  </r>
  <r>
    <x v="123"/>
    <x v="2"/>
    <n v="666.08367188088596"/>
    <n v="19"/>
    <n v="114.05353412084"/>
    <x v="1"/>
  </r>
  <r>
    <x v="123"/>
    <x v="3"/>
    <n v="891.17862595466499"/>
    <n v="12"/>
    <n v="219.49740299999999"/>
    <x v="2"/>
  </r>
  <r>
    <x v="123"/>
    <x v="5"/>
    <n v="849.22016181813001"/>
    <n v="12"/>
    <n v="327.08505646893701"/>
    <x v="2"/>
  </r>
  <r>
    <x v="124"/>
    <x v="0"/>
    <n v="1105.96221835235"/>
    <n v="8"/>
    <n v="320.984752197376"/>
    <x v="2"/>
  </r>
  <r>
    <x v="124"/>
    <x v="1"/>
    <n v="994.06440543551003"/>
    <n v="18"/>
    <n v="207.31802450000001"/>
    <x v="3"/>
  </r>
  <r>
    <x v="124"/>
    <x v="2"/>
    <n v="1241.9692530042901"/>
    <n v="19"/>
    <n v="227.33538302097099"/>
    <x v="0"/>
  </r>
  <r>
    <x v="124"/>
    <x v="3"/>
    <n v="1061.81485536385"/>
    <n v="13"/>
    <n v="259.732992456001"/>
    <x v="3"/>
  </r>
  <r>
    <x v="124"/>
    <x v="5"/>
    <n v="244.77006928074101"/>
    <n v="17"/>
    <n v="62.4094623440512"/>
    <x v="2"/>
  </r>
  <r>
    <x v="125"/>
    <x v="0"/>
    <n v="565.01794614512403"/>
    <n v="17"/>
    <n v="57.800889410508702"/>
    <x v="2"/>
  </r>
  <r>
    <x v="125"/>
    <x v="1"/>
    <n v="1089.37631957794"/>
    <n v="1"/>
    <n v="219.68166206572599"/>
    <x v="0"/>
  </r>
  <r>
    <x v="125"/>
    <x v="2"/>
    <n v="1086.6197184159801"/>
    <n v="17"/>
    <n v="179.893100244701"/>
    <x v="2"/>
  </r>
  <r>
    <x v="125"/>
    <x v="3"/>
    <n v="1113.2052108289599"/>
    <n v="9"/>
    <n v="384.06097707376"/>
    <x v="0"/>
  </r>
  <r>
    <x v="125"/>
    <x v="5"/>
    <n v="945.85306332050902"/>
    <n v="9"/>
    <n v="326.75629155148999"/>
    <x v="0"/>
  </r>
  <r>
    <x v="126"/>
    <x v="0"/>
    <n v="1031.0632415918101"/>
    <n v="9"/>
    <n v="112.28326843280099"/>
    <x v="3"/>
  </r>
  <r>
    <x v="126"/>
    <x v="1"/>
    <n v="351.33423370000003"/>
    <n v="11"/>
    <n v="39.861001557879398"/>
    <x v="1"/>
  </r>
  <r>
    <x v="126"/>
    <x v="2"/>
    <n v="880.26644429999999"/>
    <n v="1"/>
    <n v="190.984109394917"/>
    <x v="1"/>
  </r>
  <r>
    <x v="126"/>
    <x v="3"/>
    <n v="804.13096827653101"/>
    <n v="12"/>
    <n v="293.24852492249403"/>
    <x v="0"/>
  </r>
  <r>
    <x v="126"/>
    <x v="5"/>
    <n v="1231.60646860102"/>
    <n v="16"/>
    <n v="232.79615151905901"/>
    <x v="2"/>
  </r>
  <r>
    <x v="127"/>
    <x v="0"/>
    <n v="1459.39712337384"/>
    <n v="7"/>
    <n v="563.63367293767101"/>
    <x v="0"/>
  </r>
  <r>
    <x v="127"/>
    <x v="1"/>
    <n v="1043.4602993972601"/>
    <n v="18"/>
    <n v="184.70110083751101"/>
    <x v="3"/>
  </r>
  <r>
    <x v="127"/>
    <x v="2"/>
    <n v="815.56814045292401"/>
    <n v="1"/>
    <n v="193.18440240997401"/>
    <x v="2"/>
  </r>
  <r>
    <x v="127"/>
    <x v="3"/>
    <n v="1058.01873494852"/>
    <n v="8"/>
    <n v="344.23000785386103"/>
    <x v="0"/>
  </r>
  <r>
    <x v="127"/>
    <x v="5"/>
    <n v="754.41499610000005"/>
    <n v="12"/>
    <n v="93.588201119999994"/>
    <x v="1"/>
  </r>
  <r>
    <x v="128"/>
    <x v="0"/>
    <n v="842.11164063190699"/>
    <n v="9"/>
    <n v="247.526107857634"/>
    <x v="1"/>
  </r>
  <r>
    <x v="128"/>
    <x v="1"/>
    <n v="1451.7454862918901"/>
    <n v="11"/>
    <n v="405.91924645238998"/>
    <x v="2"/>
  </r>
  <r>
    <x v="128"/>
    <x v="2"/>
    <n v="1212.4643269769599"/>
    <n v="7"/>
    <n v="439.04494583006499"/>
    <x v="3"/>
  </r>
  <r>
    <x v="128"/>
    <x v="3"/>
    <n v="1069.9648393790501"/>
    <n v="6"/>
    <n v="145.69446393085499"/>
    <x v="2"/>
  </r>
  <r>
    <x v="128"/>
    <x v="5"/>
    <n v="1384.62967628756"/>
    <n v="8"/>
    <n v="479.087113991531"/>
    <x v="0"/>
  </r>
  <r>
    <x v="129"/>
    <x v="0"/>
    <n v="1035.0608147023299"/>
    <n v="12"/>
    <n v="195.12160404069201"/>
    <x v="0"/>
  </r>
  <r>
    <x v="129"/>
    <x v="1"/>
    <n v="944.163295674349"/>
    <n v="5"/>
    <n v="129.2568885"/>
    <x v="0"/>
  </r>
  <r>
    <x v="129"/>
    <x v="2"/>
    <n v="769.39410577898695"/>
    <n v="6"/>
    <n v="272.12031438952698"/>
    <x v="2"/>
  </r>
  <r>
    <x v="129"/>
    <x v="3"/>
    <n v="911.20694697827901"/>
    <n v="13"/>
    <n v="166.39946641239999"/>
    <x v="0"/>
  </r>
  <r>
    <x v="129"/>
    <x v="5"/>
    <n v="1325.08182394905"/>
    <n v="6"/>
    <n v="446.14915082788002"/>
    <x v="3"/>
  </r>
  <r>
    <x v="130"/>
    <x v="0"/>
    <n v="831.43430093577103"/>
    <n v="3"/>
    <n v="297.045452910253"/>
    <x v="1"/>
  </r>
  <r>
    <x v="130"/>
    <x v="1"/>
    <n v="601.41843412133096"/>
    <n v="9"/>
    <n v="137.90258034729601"/>
    <x v="3"/>
  </r>
  <r>
    <x v="130"/>
    <x v="2"/>
    <n v="918.27168962671203"/>
    <n v="1"/>
    <n v="236.67881604099699"/>
    <x v="2"/>
  </r>
  <r>
    <x v="130"/>
    <x v="3"/>
    <n v="977.52674660349396"/>
    <n v="5"/>
    <n v="287.121260655502"/>
    <x v="0"/>
  </r>
  <r>
    <x v="130"/>
    <x v="5"/>
    <n v="907.58971474427699"/>
    <n v="19"/>
    <n v="97.687809020550105"/>
    <x v="3"/>
  </r>
  <r>
    <x v="131"/>
    <x v="0"/>
    <n v="1233.8981596808001"/>
    <n v="18"/>
    <n v="359.15159518923298"/>
    <x v="1"/>
  </r>
  <r>
    <x v="131"/>
    <x v="1"/>
    <n v="1382.09209964549"/>
    <n v="11"/>
    <n v="267.24858232412203"/>
    <x v="2"/>
  </r>
  <r>
    <x v="131"/>
    <x v="2"/>
    <n v="850.519635069895"/>
    <n v="5"/>
    <n v="220.56151762381899"/>
    <x v="3"/>
  </r>
  <r>
    <x v="131"/>
    <x v="3"/>
    <n v="1567.4163548650999"/>
    <n v="13"/>
    <n v="613.8121208"/>
    <x v="2"/>
  </r>
  <r>
    <x v="131"/>
    <x v="5"/>
    <n v="861.37119440458002"/>
    <n v="3"/>
    <n v="335.25016705919199"/>
    <x v="3"/>
  </r>
  <r>
    <x v="132"/>
    <x v="0"/>
    <n v="965.71361331943399"/>
    <n v="11"/>
    <n v="208.97659009245999"/>
    <x v="2"/>
  </r>
  <r>
    <x v="132"/>
    <x v="1"/>
    <n v="952.81077243972902"/>
    <n v="19"/>
    <n v="101.95611592613599"/>
    <x v="1"/>
  </r>
  <r>
    <x v="132"/>
    <x v="2"/>
    <n v="987.82845197644701"/>
    <n v="10"/>
    <n v="365.52117839640499"/>
    <x v="0"/>
  </r>
  <r>
    <x v="132"/>
    <x v="3"/>
    <n v="646.40107315862497"/>
    <n v="5"/>
    <n v="250.012194382638"/>
    <x v="0"/>
  </r>
  <r>
    <x v="132"/>
    <x v="5"/>
    <n v="212.86352933521999"/>
    <n v="18"/>
    <n v="74.079106830114398"/>
    <x v="0"/>
  </r>
  <r>
    <x v="133"/>
    <x v="0"/>
    <n v="633.79898509542602"/>
    <n v="13"/>
    <n v="178.771371460203"/>
    <x v="2"/>
  </r>
  <r>
    <x v="133"/>
    <x v="1"/>
    <n v="538.10004421800397"/>
    <n v="16"/>
    <n v="178.682397943528"/>
    <x v="0"/>
  </r>
  <r>
    <x v="133"/>
    <x v="2"/>
    <n v="554.11689101491095"/>
    <n v="5"/>
    <n v="134.85184507182601"/>
    <x v="0"/>
  </r>
  <r>
    <x v="133"/>
    <x v="3"/>
    <n v="1471.8443922751501"/>
    <n v="19"/>
    <n v="304.45939342319298"/>
    <x v="2"/>
  </r>
  <r>
    <x v="133"/>
    <x v="5"/>
    <n v="1075.13572231833"/>
    <n v="13"/>
    <n v="170.28768400864999"/>
    <x v="0"/>
  </r>
  <r>
    <x v="134"/>
    <x v="0"/>
    <n v="1609.9881308399299"/>
    <n v="12"/>
    <n v="562.21840579272202"/>
    <x v="3"/>
  </r>
  <r>
    <x v="134"/>
    <x v="1"/>
    <n v="1025.6060856663401"/>
    <n v="19"/>
    <n v="153.40258432920899"/>
    <x v="1"/>
  </r>
  <r>
    <x v="134"/>
    <x v="2"/>
    <n v="948.44110406101197"/>
    <n v="15"/>
    <n v="327.23786377171501"/>
    <x v="3"/>
  </r>
  <r>
    <x v="134"/>
    <x v="3"/>
    <n v="667.55064064275905"/>
    <n v="19"/>
    <n v="223.44021323302499"/>
    <x v="1"/>
  </r>
  <r>
    <x v="134"/>
    <x v="5"/>
    <n v="1087.5585286"/>
    <n v="19"/>
    <n v="174.437462791819"/>
    <x v="0"/>
  </r>
  <r>
    <x v="135"/>
    <x v="0"/>
    <n v="1269.8394913444699"/>
    <n v="8"/>
    <n v="142.01613108690799"/>
    <x v="0"/>
  </r>
  <r>
    <x v="135"/>
    <x v="1"/>
    <n v="1157.1280652337"/>
    <n v="2"/>
    <n v="366.39646798278"/>
    <x v="0"/>
  </r>
  <r>
    <x v="135"/>
    <x v="2"/>
    <n v="1081.4264481402799"/>
    <n v="15"/>
    <n v="390.38494230684302"/>
    <x v="0"/>
  </r>
  <r>
    <x v="135"/>
    <x v="3"/>
    <n v="1098.0396729669301"/>
    <n v="5"/>
    <n v="371.42641214847299"/>
    <x v="3"/>
  </r>
  <r>
    <x v="135"/>
    <x v="5"/>
    <n v="1488.70288100478"/>
    <n v="9"/>
    <n v="540.58847055965805"/>
    <x v="3"/>
  </r>
  <r>
    <x v="136"/>
    <x v="0"/>
    <n v="727.19056910781603"/>
    <n v="6"/>
    <n v="201.15506009989701"/>
    <x v="2"/>
  </r>
  <r>
    <x v="136"/>
    <x v="1"/>
    <n v="1008.6627169447"/>
    <n v="4"/>
    <n v="187.344036966922"/>
    <x v="0"/>
  </r>
  <r>
    <x v="136"/>
    <x v="2"/>
    <n v="455.538086687732"/>
    <n v="11"/>
    <n v="171.10940434174401"/>
    <x v="1"/>
  </r>
  <r>
    <x v="136"/>
    <x v="3"/>
    <n v="1580.9167907706701"/>
    <n v="18"/>
    <n v="502.28088169000398"/>
    <x v="0"/>
  </r>
  <r>
    <x v="136"/>
    <x v="5"/>
    <n v="983.53179980000004"/>
    <n v="19"/>
    <n v="276.01354067308199"/>
    <x v="1"/>
  </r>
  <r>
    <x v="137"/>
    <x v="0"/>
    <n v="1085.6662224572899"/>
    <n v="4"/>
    <n v="371.27266355303499"/>
    <x v="1"/>
  </r>
  <r>
    <x v="137"/>
    <x v="1"/>
    <n v="940.79847390780196"/>
    <n v="13"/>
    <n v="218.02529058255601"/>
    <x v="0"/>
  </r>
  <r>
    <x v="137"/>
    <x v="2"/>
    <n v="954.618014903946"/>
    <n v="1"/>
    <n v="351.22980113453599"/>
    <x v="1"/>
  </r>
  <r>
    <x v="137"/>
    <x v="3"/>
    <n v="669.31590344105496"/>
    <n v="5"/>
    <n v="169.423765101165"/>
    <x v="2"/>
  </r>
  <r>
    <x v="137"/>
    <x v="5"/>
    <n v="745.02413629340595"/>
    <n v="16"/>
    <n v="244.94822971858801"/>
    <x v="2"/>
  </r>
  <r>
    <x v="138"/>
    <x v="0"/>
    <n v="1337.2338159957999"/>
    <n v="10"/>
    <n v="187.65474193027401"/>
    <x v="2"/>
  </r>
  <r>
    <x v="138"/>
    <x v="1"/>
    <n v="1284.25793863685"/>
    <n v="16"/>
    <n v="444.27534560229702"/>
    <x v="0"/>
  </r>
  <r>
    <x v="138"/>
    <x v="2"/>
    <n v="731.69502619737898"/>
    <n v="15"/>
    <n v="290.60278423897302"/>
    <x v="2"/>
  </r>
  <r>
    <x v="138"/>
    <x v="3"/>
    <n v="794.81214946027001"/>
    <n v="8"/>
    <n v="316.64886237283901"/>
    <x v="3"/>
  </r>
  <r>
    <x v="138"/>
    <x v="5"/>
    <n v="1217.52873605439"/>
    <n v="1"/>
    <n v="146.96650850571899"/>
    <x v="0"/>
  </r>
  <r>
    <x v="139"/>
    <x v="0"/>
    <n v="1154.8534861344799"/>
    <n v="8"/>
    <n v="440.14620092574597"/>
    <x v="3"/>
  </r>
  <r>
    <x v="139"/>
    <x v="1"/>
    <n v="1356.6740114423901"/>
    <n v="4"/>
    <n v="420.58289264090598"/>
    <x v="1"/>
  </r>
  <r>
    <x v="139"/>
    <x v="2"/>
    <n v="1212.4911541603101"/>
    <n v="8"/>
    <n v="266.42074971496402"/>
    <x v="2"/>
  </r>
  <r>
    <x v="139"/>
    <x v="3"/>
    <n v="951.07991081686998"/>
    <n v="6"/>
    <n v="182.45631354013"/>
    <x v="3"/>
  </r>
  <r>
    <x v="139"/>
    <x v="5"/>
    <n v="776.52920655806497"/>
    <n v="3"/>
    <n v="224.903784789778"/>
    <x v="0"/>
  </r>
  <r>
    <x v="140"/>
    <x v="0"/>
    <n v="1009.05723616304"/>
    <n v="16"/>
    <n v="307.28274438536101"/>
    <x v="0"/>
  </r>
  <r>
    <x v="140"/>
    <x v="1"/>
    <n v="1182.58223270702"/>
    <n v="2"/>
    <n v="400.13221322799302"/>
    <x v="3"/>
  </r>
  <r>
    <x v="140"/>
    <x v="2"/>
    <n v="650.19733327743199"/>
    <n v="13"/>
    <n v="195.09582319606599"/>
    <x v="1"/>
  </r>
  <r>
    <x v="140"/>
    <x v="3"/>
    <n v="978.56630287036501"/>
    <n v="2"/>
    <n v="180.35109036314799"/>
    <x v="3"/>
  </r>
  <r>
    <x v="140"/>
    <x v="5"/>
    <n v="763.31776937227801"/>
    <n v="7"/>
    <n v="185.43362223594599"/>
    <x v="0"/>
  </r>
  <r>
    <x v="141"/>
    <x v="0"/>
    <n v="858.75130704585195"/>
    <n v="17"/>
    <n v="250.87802220960299"/>
    <x v="0"/>
  </r>
  <r>
    <x v="141"/>
    <x v="1"/>
    <n v="1444.3715645766399"/>
    <n v="17"/>
    <n v="456.331048752904"/>
    <x v="3"/>
  </r>
  <r>
    <x v="141"/>
    <x v="2"/>
    <n v="856.42676659999995"/>
    <n v="10"/>
    <n v="236.16776259575099"/>
    <x v="3"/>
  </r>
  <r>
    <x v="141"/>
    <x v="3"/>
    <n v="1615.64984440279"/>
    <n v="18"/>
    <n v="278.828048937647"/>
    <x v="3"/>
  </r>
  <r>
    <x v="141"/>
    <x v="5"/>
    <n v="1245.45614083177"/>
    <n v="14"/>
    <n v="431.87491729725599"/>
    <x v="3"/>
  </r>
  <r>
    <x v="142"/>
    <x v="0"/>
    <n v="1157.1313329498601"/>
    <n v="4"/>
    <n v="165.3110088"/>
    <x v="1"/>
  </r>
  <r>
    <x v="142"/>
    <x v="1"/>
    <n v="478.54585829903601"/>
    <n v="8"/>
    <n v="86.819136304788501"/>
    <x v="1"/>
  </r>
  <r>
    <x v="142"/>
    <x v="2"/>
    <n v="1166.8652736992501"/>
    <n v="9"/>
    <n v="378.75696517661697"/>
    <x v="1"/>
  </r>
  <r>
    <x v="142"/>
    <x v="3"/>
    <n v="1243.6719342817601"/>
    <n v="17"/>
    <n v="315.07028300705798"/>
    <x v="2"/>
  </r>
  <r>
    <x v="142"/>
    <x v="5"/>
    <n v="1208.16353349419"/>
    <n v="17"/>
    <n v="143.53814778104501"/>
    <x v="2"/>
  </r>
  <r>
    <x v="143"/>
    <x v="0"/>
    <n v="1478.8239206599401"/>
    <n v="8"/>
    <n v="149.57708996676899"/>
    <x v="0"/>
  </r>
  <r>
    <x v="143"/>
    <x v="1"/>
    <n v="1055.4702450786899"/>
    <n v="2"/>
    <n v="204.765845518416"/>
    <x v="3"/>
  </r>
  <r>
    <x v="143"/>
    <x v="2"/>
    <n v="684.11047647990699"/>
    <n v="18"/>
    <n v="251.45277103167899"/>
    <x v="0"/>
  </r>
  <r>
    <x v="143"/>
    <x v="3"/>
    <n v="436.13181159699297"/>
    <n v="12"/>
    <n v="131.948198544972"/>
    <x v="0"/>
  </r>
  <r>
    <x v="143"/>
    <x v="5"/>
    <n v="643.27814025884504"/>
    <n v="1"/>
    <n v="243.83540865688599"/>
    <x v="0"/>
  </r>
  <r>
    <x v="144"/>
    <x v="0"/>
    <n v="1156.6731043744001"/>
    <n v="13"/>
    <n v="179.10177461525299"/>
    <x v="3"/>
  </r>
  <r>
    <x v="144"/>
    <x v="1"/>
    <n v="755.07880416968703"/>
    <n v="12"/>
    <n v="104.865491834248"/>
    <x v="3"/>
  </r>
  <r>
    <x v="144"/>
    <x v="2"/>
    <n v="683.38389487225299"/>
    <n v="19"/>
    <n v="198.38765808605299"/>
    <x v="0"/>
  </r>
  <r>
    <x v="144"/>
    <x v="3"/>
    <n v="1317.5453630590901"/>
    <n v="10"/>
    <n v="173.18135032053399"/>
    <x v="2"/>
  </r>
  <r>
    <x v="144"/>
    <x v="5"/>
    <n v="1000.15838765697"/>
    <n v="9"/>
    <n v="242.82877429330799"/>
    <x v="3"/>
  </r>
  <r>
    <x v="145"/>
    <x v="0"/>
    <n v="1180.36202467873"/>
    <n v="18"/>
    <n v="342.69125305853697"/>
    <x v="1"/>
  </r>
  <r>
    <x v="145"/>
    <x v="1"/>
    <n v="847.557940705806"/>
    <n v="9"/>
    <n v="132.05537531319601"/>
    <x v="0"/>
  </r>
  <r>
    <x v="145"/>
    <x v="2"/>
    <n v="955.66590435475803"/>
    <n v="13"/>
    <n v="214.775638792352"/>
    <x v="2"/>
  </r>
  <r>
    <x v="145"/>
    <x v="3"/>
    <n v="1186.66214321302"/>
    <n v="11"/>
    <n v="378.72192751270302"/>
    <x v="2"/>
  </r>
  <r>
    <x v="145"/>
    <x v="5"/>
    <n v="658.35006466576897"/>
    <n v="1"/>
    <n v="223.09652074007101"/>
    <x v="1"/>
  </r>
  <r>
    <x v="146"/>
    <x v="0"/>
    <n v="533.87237019518"/>
    <n v="8"/>
    <n v="157.75497605134501"/>
    <x v="2"/>
  </r>
  <r>
    <x v="146"/>
    <x v="1"/>
    <n v="1245.3668974074999"/>
    <n v="3"/>
    <n v="242.45824349261099"/>
    <x v="3"/>
  </r>
  <r>
    <x v="146"/>
    <x v="2"/>
    <n v="1041.4896069357401"/>
    <n v="1"/>
    <n v="382.29386264872898"/>
    <x v="3"/>
  </r>
  <r>
    <x v="146"/>
    <x v="3"/>
    <n v="898.02564826923401"/>
    <n v="11"/>
    <n v="188.886939850641"/>
    <x v="0"/>
  </r>
  <r>
    <x v="146"/>
    <x v="5"/>
    <n v="1154.3202809711299"/>
    <n v="12"/>
    <n v="150.01551720719499"/>
    <x v="2"/>
  </r>
  <r>
    <x v="147"/>
    <x v="0"/>
    <n v="1176.91662782241"/>
    <n v="14"/>
    <n v="203.09657752432301"/>
    <x v="2"/>
  </r>
  <r>
    <x v="147"/>
    <x v="1"/>
    <n v="931.42002539799398"/>
    <n v="3"/>
    <n v="206.111072536683"/>
    <x v="0"/>
  </r>
  <r>
    <x v="147"/>
    <x v="2"/>
    <n v="701.69518761744598"/>
    <n v="12"/>
    <n v="195.44982844575199"/>
    <x v="3"/>
  </r>
  <r>
    <x v="147"/>
    <x v="3"/>
    <n v="1185.1090510961999"/>
    <n v="6"/>
    <n v="389.536705184097"/>
    <x v="1"/>
  </r>
  <r>
    <x v="147"/>
    <x v="5"/>
    <n v="1110.21660718918"/>
    <n v="16"/>
    <n v="368.45474028856103"/>
    <x v="3"/>
  </r>
  <r>
    <x v="148"/>
    <x v="0"/>
    <n v="771.055353056885"/>
    <n v="15"/>
    <n v="263.81401465609798"/>
    <x v="2"/>
  </r>
  <r>
    <x v="148"/>
    <x v="1"/>
    <n v="1040.7261639752901"/>
    <n v="5"/>
    <n v="186.99231728634001"/>
    <x v="3"/>
  </r>
  <r>
    <x v="148"/>
    <x v="2"/>
    <n v="638.11860721515905"/>
    <n v="7"/>
    <n v="130.44974324859999"/>
    <x v="2"/>
  </r>
  <r>
    <x v="148"/>
    <x v="3"/>
    <n v="615.91947719111795"/>
    <n v="12"/>
    <n v="61.842065050000002"/>
    <x v="1"/>
  </r>
  <r>
    <x v="148"/>
    <x v="5"/>
    <n v="1177.30646696796"/>
    <n v="4"/>
    <n v="416.90570359999998"/>
    <x v="0"/>
  </r>
  <r>
    <x v="149"/>
    <x v="0"/>
    <n v="1597.3757804930499"/>
    <n v="11"/>
    <n v="557.37063161745402"/>
    <x v="1"/>
  </r>
  <r>
    <x v="149"/>
    <x v="1"/>
    <n v="933.03932360955798"/>
    <n v="4"/>
    <n v="345.07205730028699"/>
    <x v="0"/>
  </r>
  <r>
    <x v="149"/>
    <x v="2"/>
    <n v="1446.9590315806199"/>
    <n v="9"/>
    <n v="551.60036229130299"/>
    <x v="2"/>
  </r>
  <r>
    <x v="149"/>
    <x v="3"/>
    <n v="1501.4448673546201"/>
    <n v="12"/>
    <n v="176.19956225368"/>
    <x v="2"/>
  </r>
  <r>
    <x v="149"/>
    <x v="5"/>
    <n v="967.73226044232695"/>
    <n v="8"/>
    <n v="370.46464693150199"/>
    <x v="0"/>
  </r>
  <r>
    <x v="150"/>
    <x v="0"/>
    <n v="1637.9306766919599"/>
    <n v="11"/>
    <n v="636.87741229754704"/>
    <x v="3"/>
  </r>
  <r>
    <x v="150"/>
    <x v="1"/>
    <n v="1129.8930048183099"/>
    <n v="9"/>
    <n v="182.47135091089601"/>
    <x v="2"/>
  </r>
  <r>
    <x v="150"/>
    <x v="2"/>
    <n v="887.44108590281803"/>
    <n v="10"/>
    <n v="172.646437778337"/>
    <x v="1"/>
  </r>
  <r>
    <x v="150"/>
    <x v="3"/>
    <n v="904.68547097312899"/>
    <n v="11"/>
    <n v="356.89479698384997"/>
    <x v="3"/>
  </r>
  <r>
    <x v="150"/>
    <x v="5"/>
    <n v="610.56193448361"/>
    <n v="11"/>
    <n v="108.662619520889"/>
    <x v="0"/>
  </r>
  <r>
    <x v="151"/>
    <x v="0"/>
    <n v="1473.43204237345"/>
    <n v="15"/>
    <n v="552.89911614575499"/>
    <x v="3"/>
  </r>
  <r>
    <x v="151"/>
    <x v="1"/>
    <n v="1090.3133428823301"/>
    <n v="9"/>
    <n v="334.72611034020701"/>
    <x v="2"/>
  </r>
  <r>
    <x v="151"/>
    <x v="2"/>
    <n v="1523.5049289963299"/>
    <n v="17"/>
    <n v="577.68570910000005"/>
    <x v="3"/>
  </r>
  <r>
    <x v="151"/>
    <x v="3"/>
    <n v="749.45712951099301"/>
    <n v="1"/>
    <n v="290.32487993945199"/>
    <x v="1"/>
  </r>
  <r>
    <x v="151"/>
    <x v="5"/>
    <n v="1626.86161650843"/>
    <n v="2"/>
    <n v="280.74423629575602"/>
    <x v="0"/>
  </r>
  <r>
    <x v="152"/>
    <x v="0"/>
    <n v="1196.3962488724001"/>
    <n v="18"/>
    <n v="315.91787182394501"/>
    <x v="2"/>
  </r>
  <r>
    <x v="152"/>
    <x v="1"/>
    <n v="1055.3958327713799"/>
    <n v="13"/>
    <n v="250.740290827747"/>
    <x v="1"/>
  </r>
  <r>
    <x v="152"/>
    <x v="2"/>
    <n v="939.77525093413999"/>
    <n v="12"/>
    <n v="347.06125732535799"/>
    <x v="3"/>
  </r>
  <r>
    <x v="152"/>
    <x v="3"/>
    <n v="630.35730105555001"/>
    <n v="1"/>
    <n v="88.943237995650406"/>
    <x v="1"/>
  </r>
  <r>
    <x v="152"/>
    <x v="5"/>
    <n v="1134.35852432553"/>
    <n v="12"/>
    <n v="440.34447194369102"/>
    <x v="3"/>
  </r>
  <r>
    <x v="153"/>
    <x v="0"/>
    <n v="1111.32821539417"/>
    <n v="4"/>
    <n v="428.33805950608797"/>
    <x v="3"/>
  </r>
  <r>
    <x v="153"/>
    <x v="1"/>
    <n v="1164.0085971297599"/>
    <n v="12"/>
    <n v="207.033519792383"/>
    <x v="0"/>
  </r>
  <r>
    <x v="153"/>
    <x v="2"/>
    <n v="966.21285122116399"/>
    <n v="18"/>
    <n v="268.67314624586697"/>
    <x v="1"/>
  </r>
  <r>
    <x v="153"/>
    <x v="3"/>
    <n v="753.27052682354099"/>
    <n v="17"/>
    <n v="292.29960844811302"/>
    <x v="0"/>
  </r>
  <r>
    <x v="153"/>
    <x v="5"/>
    <n v="1395.08765100601"/>
    <n v="16"/>
    <n v="548.53782320144001"/>
    <x v="1"/>
  </r>
  <r>
    <x v="154"/>
    <x v="0"/>
    <n v="1314.9952877714099"/>
    <n v="4"/>
    <n v="229.07493371053701"/>
    <x v="0"/>
  </r>
  <r>
    <x v="154"/>
    <x v="1"/>
    <n v="904.665818699179"/>
    <n v="11"/>
    <n v="271.38178230650999"/>
    <x v="1"/>
  </r>
  <r>
    <x v="154"/>
    <x v="2"/>
    <n v="1091.80431940536"/>
    <n v="5"/>
    <n v="112.140903815011"/>
    <x v="0"/>
  </r>
  <r>
    <x v="154"/>
    <x v="3"/>
    <n v="1316.3998936129501"/>
    <n v="10"/>
    <n v="449.45306661287401"/>
    <x v="0"/>
  </r>
  <r>
    <x v="154"/>
    <x v="5"/>
    <n v="791.29858664553899"/>
    <n v="2"/>
    <n v="201.310384303896"/>
    <x v="3"/>
  </r>
  <r>
    <x v="155"/>
    <x v="0"/>
    <n v="674.74258269330198"/>
    <n v="5"/>
    <n v="117.231282202128"/>
    <x v="0"/>
  </r>
  <r>
    <x v="155"/>
    <x v="1"/>
    <n v="1629.91653674995"/>
    <n v="10"/>
    <n v="603.74541822406695"/>
    <x v="2"/>
  </r>
  <r>
    <x v="155"/>
    <x v="2"/>
    <n v="925.89228979999996"/>
    <n v="2"/>
    <n v="368.48337714611898"/>
    <x v="3"/>
  </r>
  <r>
    <x v="155"/>
    <x v="3"/>
    <n v="129.54289519192599"/>
    <n v="3"/>
    <n v="28.2063404249743"/>
    <x v="0"/>
  </r>
  <r>
    <x v="155"/>
    <x v="5"/>
    <n v="1600.11025345242"/>
    <n v="3"/>
    <n v="187.71033956899501"/>
    <x v="1"/>
  </r>
  <r>
    <x v="156"/>
    <x v="0"/>
    <n v="440.038014591815"/>
    <n v="18"/>
    <n v="175.01750184321099"/>
    <x v="0"/>
  </r>
  <r>
    <x v="156"/>
    <x v="1"/>
    <n v="1302.2541069510701"/>
    <n v="18"/>
    <n v="386.75556444144001"/>
    <x v="2"/>
  </r>
  <r>
    <x v="156"/>
    <x v="2"/>
    <n v="1146.14933206605"/>
    <n v="5"/>
    <n v="126.99981656456301"/>
    <x v="0"/>
  </r>
  <r>
    <x v="156"/>
    <x v="3"/>
    <n v="1197.2573240455299"/>
    <n v="2"/>
    <n v="363.80457059925698"/>
    <x v="0"/>
  </r>
  <r>
    <x v="156"/>
    <x v="5"/>
    <n v="1031.7683359345699"/>
    <n v="11"/>
    <n v="277.54299214386901"/>
    <x v="0"/>
  </r>
  <r>
    <x v="157"/>
    <x v="0"/>
    <n v="1175.3238941417401"/>
    <n v="3"/>
    <n v="232.59839604950099"/>
    <x v="1"/>
  </r>
  <r>
    <x v="157"/>
    <x v="1"/>
    <n v="730.36478550306094"/>
    <n v="15"/>
    <n v="271.05829010000002"/>
    <x v="2"/>
  </r>
  <r>
    <x v="157"/>
    <x v="2"/>
    <n v="600.90591229999995"/>
    <n v="8"/>
    <n v="132.36907389263101"/>
    <x v="2"/>
  </r>
  <r>
    <x v="157"/>
    <x v="3"/>
    <n v="961.73526388673895"/>
    <n v="15"/>
    <n v="253.274646233997"/>
    <x v="0"/>
  </r>
  <r>
    <x v="157"/>
    <x v="5"/>
    <n v="1453.3464790742"/>
    <n v="8"/>
    <n v="226.49063339616299"/>
    <x v="1"/>
  </r>
  <r>
    <x v="158"/>
    <x v="0"/>
    <n v="870.97023887141597"/>
    <n v="14"/>
    <n v="105.690048477697"/>
    <x v="3"/>
  </r>
  <r>
    <x v="158"/>
    <x v="1"/>
    <n v="1025.90659465011"/>
    <n v="15"/>
    <n v="373.275059"/>
    <x v="0"/>
  </r>
  <r>
    <x v="158"/>
    <x v="2"/>
    <n v="1379.68886067568"/>
    <n v="8"/>
    <n v="157.687919725688"/>
    <x v="3"/>
  </r>
  <r>
    <x v="158"/>
    <x v="3"/>
    <n v="889.36121899664897"/>
    <n v="2"/>
    <n v="295.420776134579"/>
    <x v="3"/>
  </r>
  <r>
    <x v="158"/>
    <x v="5"/>
    <n v="714.34635797819499"/>
    <n v="17"/>
    <n v="186.964704903675"/>
    <x v="3"/>
  </r>
  <r>
    <x v="159"/>
    <x v="0"/>
    <n v="1126.7965196504799"/>
    <n v="13"/>
    <n v="125.380144135336"/>
    <x v="2"/>
  </r>
  <r>
    <x v="159"/>
    <x v="1"/>
    <n v="1500.76862639209"/>
    <n v="6"/>
    <n v="174.67494967678499"/>
    <x v="2"/>
  </r>
  <r>
    <x v="159"/>
    <x v="2"/>
    <n v="1730.3225899713"/>
    <n v="8"/>
    <n v="290.41318960000001"/>
    <x v="2"/>
  </r>
  <r>
    <x v="159"/>
    <x v="3"/>
    <n v="991.572905977593"/>
    <n v="19"/>
    <n v="114.596361434513"/>
    <x v="3"/>
  </r>
  <r>
    <x v="159"/>
    <x v="5"/>
    <n v="933.96289590000003"/>
    <n v="12"/>
    <n v="156.24082694629499"/>
    <x v="1"/>
  </r>
  <r>
    <x v="160"/>
    <x v="0"/>
    <n v="674.85674500394896"/>
    <n v="13"/>
    <n v="153.049923772466"/>
    <x v="2"/>
  </r>
  <r>
    <x v="160"/>
    <x v="1"/>
    <n v="1544.00236157366"/>
    <n v="5"/>
    <n v="484.48694252092901"/>
    <x v="1"/>
  </r>
  <r>
    <x v="160"/>
    <x v="2"/>
    <n v="815.01848378634998"/>
    <n v="16"/>
    <n v="302.03122786477098"/>
    <x v="2"/>
  </r>
  <r>
    <x v="160"/>
    <x v="3"/>
    <n v="887.14701916549302"/>
    <n v="4"/>
    <n v="350.82896080979498"/>
    <x v="3"/>
  </r>
  <r>
    <x v="160"/>
    <x v="5"/>
    <n v="1076.1583627043699"/>
    <n v="8"/>
    <n v="321.02264154295199"/>
    <x v="1"/>
  </r>
  <r>
    <x v="161"/>
    <x v="0"/>
    <n v="1470.68034870324"/>
    <n v="10"/>
    <n v="460.02329587849698"/>
    <x v="1"/>
  </r>
  <r>
    <x v="161"/>
    <x v="1"/>
    <n v="1039.97717015838"/>
    <n v="17"/>
    <n v="401.08439243172199"/>
    <x v="2"/>
  </r>
  <r>
    <x v="161"/>
    <x v="2"/>
    <n v="475.233987096936"/>
    <n v="17"/>
    <n v="133.28705326367901"/>
    <x v="3"/>
  </r>
  <r>
    <x v="161"/>
    <x v="3"/>
    <n v="722.65083722331894"/>
    <n v="5"/>
    <n v="94.490057900749903"/>
    <x v="0"/>
  </r>
  <r>
    <x v="161"/>
    <x v="5"/>
    <n v="1099.0500523578901"/>
    <n v="19"/>
    <n v="231.66242018783399"/>
    <x v="0"/>
  </r>
  <r>
    <x v="162"/>
    <x v="0"/>
    <n v="638.27136146333805"/>
    <n v="15"/>
    <n v="200.60740644236401"/>
    <x v="1"/>
  </r>
  <r>
    <x v="162"/>
    <x v="1"/>
    <n v="945.69815840211504"/>
    <n v="6"/>
    <n v="355.86466259005198"/>
    <x v="1"/>
  </r>
  <r>
    <x v="162"/>
    <x v="2"/>
    <n v="938.52286246776703"/>
    <n v="9"/>
    <n v="148.82361711377399"/>
    <x v="0"/>
  </r>
  <r>
    <x v="162"/>
    <x v="3"/>
    <n v="979.63666839999996"/>
    <n v="6"/>
    <n v="196.59655902594201"/>
    <x v="3"/>
  </r>
  <r>
    <x v="162"/>
    <x v="5"/>
    <n v="1221.21194057824"/>
    <n v="13"/>
    <n v="469.10072350276698"/>
    <x v="0"/>
  </r>
  <r>
    <x v="163"/>
    <x v="0"/>
    <n v="1342.3398194593699"/>
    <n v="17"/>
    <n v="287.46920413629198"/>
    <x v="1"/>
  </r>
  <r>
    <x v="163"/>
    <x v="1"/>
    <n v="269.480893068152"/>
    <n v="4"/>
    <n v="58.020991017833701"/>
    <x v="1"/>
  </r>
  <r>
    <x v="163"/>
    <x v="2"/>
    <n v="1043.2279142822399"/>
    <n v="11"/>
    <n v="366.90242111331497"/>
    <x v="3"/>
  </r>
  <r>
    <x v="163"/>
    <x v="3"/>
    <n v="1145.83830702619"/>
    <n v="2"/>
    <n v="265.03056529147102"/>
    <x v="3"/>
  </r>
  <r>
    <x v="163"/>
    <x v="5"/>
    <n v="1374.36878743237"/>
    <n v="19"/>
    <n v="428.60783931194601"/>
    <x v="0"/>
  </r>
  <r>
    <x v="164"/>
    <x v="0"/>
    <n v="1545.7669549899099"/>
    <n v="6"/>
    <n v="209.525167279892"/>
    <x v="3"/>
  </r>
  <r>
    <x v="164"/>
    <x v="1"/>
    <n v="1011.9809191644"/>
    <n v="3"/>
    <n v="390.361656382332"/>
    <x v="3"/>
  </r>
  <r>
    <x v="164"/>
    <x v="2"/>
    <n v="856.34876319747798"/>
    <n v="2"/>
    <n v="309.50517539999998"/>
    <x v="1"/>
  </r>
  <r>
    <x v="164"/>
    <x v="3"/>
    <n v="741.16727078706299"/>
    <n v="5"/>
    <n v="89.879481830000003"/>
    <x v="2"/>
  </r>
  <r>
    <x v="164"/>
    <x v="5"/>
    <n v="1333.4735971395901"/>
    <n v="16"/>
    <n v="526.15095669375398"/>
    <x v="1"/>
  </r>
  <r>
    <x v="165"/>
    <x v="0"/>
    <n v="1580.4117995300101"/>
    <n v="18"/>
    <n v="275.391531981095"/>
    <x v="3"/>
  </r>
  <r>
    <x v="165"/>
    <x v="1"/>
    <n v="1020.92405465231"/>
    <n v="11"/>
    <n v="160.722342589715"/>
    <x v="3"/>
  </r>
  <r>
    <x v="165"/>
    <x v="2"/>
    <n v="808.07064176675999"/>
    <n v="17"/>
    <n v="307.46952935196498"/>
    <x v="0"/>
  </r>
  <r>
    <x v="165"/>
    <x v="3"/>
    <n v="811.22098189216297"/>
    <n v="1"/>
    <n v="150.666042787202"/>
    <x v="3"/>
  </r>
  <r>
    <x v="165"/>
    <x v="5"/>
    <n v="1460.11831297494"/>
    <n v="9"/>
    <n v="446.26058122018298"/>
    <x v="0"/>
  </r>
  <r>
    <x v="166"/>
    <x v="0"/>
    <n v="1049.42313623931"/>
    <n v="7"/>
    <n v="304.00176982149901"/>
    <x v="2"/>
  </r>
  <r>
    <x v="166"/>
    <x v="1"/>
    <n v="987.84449498926199"/>
    <n v="19"/>
    <n v="331.50149126178297"/>
    <x v="0"/>
  </r>
  <r>
    <x v="166"/>
    <x v="2"/>
    <n v="911.72053846193296"/>
    <n v="18"/>
    <n v="348.62528085132601"/>
    <x v="0"/>
  </r>
  <r>
    <x v="166"/>
    <x v="3"/>
    <n v="841.58890064411298"/>
    <n v="8"/>
    <n v="101.201708280706"/>
    <x v="0"/>
  </r>
  <r>
    <x v="166"/>
    <x v="5"/>
    <n v="1116.4510773003899"/>
    <n v="9"/>
    <n v="358.78885360275399"/>
    <x v="2"/>
  </r>
  <r>
    <x v="167"/>
    <x v="0"/>
    <n v="1011.61810611088"/>
    <n v="9"/>
    <n v="163.20654648040701"/>
    <x v="0"/>
  </r>
  <r>
    <x v="167"/>
    <x v="1"/>
    <n v="551.04122347297596"/>
    <n v="10"/>
    <n v="140.53589044800901"/>
    <x v="1"/>
  </r>
  <r>
    <x v="167"/>
    <x v="2"/>
    <n v="804.99281967793002"/>
    <n v="16"/>
    <n v="232.81208720000001"/>
    <x v="3"/>
  </r>
  <r>
    <x v="167"/>
    <x v="3"/>
    <n v="1062.1801988196801"/>
    <n v="11"/>
    <n v="295.93179289143302"/>
    <x v="1"/>
  </r>
  <r>
    <x v="167"/>
    <x v="5"/>
    <n v="1020.8033011108701"/>
    <n v="15"/>
    <n v="393.44511949999998"/>
    <x v="1"/>
  </r>
  <r>
    <x v="168"/>
    <x v="0"/>
    <n v="1529.7127799351199"/>
    <n v="19"/>
    <n v="439.172329895975"/>
    <x v="1"/>
  </r>
  <r>
    <x v="168"/>
    <x v="1"/>
    <n v="811.63503566746294"/>
    <n v="2"/>
    <n v="146.27335989205801"/>
    <x v="2"/>
  </r>
  <r>
    <x v="168"/>
    <x v="2"/>
    <n v="728.52560438319597"/>
    <n v="10"/>
    <n v="171.35355140098"/>
    <x v="3"/>
  </r>
  <r>
    <x v="168"/>
    <x v="3"/>
    <n v="1436.5181747445299"/>
    <n v="16"/>
    <n v="395.138874342723"/>
    <x v="1"/>
  </r>
  <r>
    <x v="168"/>
    <x v="5"/>
    <n v="1196.68042826485"/>
    <n v="4"/>
    <n v="459.549360080734"/>
    <x v="2"/>
  </r>
  <r>
    <x v="169"/>
    <x v="0"/>
    <n v="539.04291551686401"/>
    <n v="10"/>
    <n v="152.91431714237501"/>
    <x v="1"/>
  </r>
  <r>
    <x v="169"/>
    <x v="1"/>
    <n v="1165.4428825718501"/>
    <n v="4"/>
    <n v="361.68573325813401"/>
    <x v="0"/>
  </r>
  <r>
    <x v="169"/>
    <x v="2"/>
    <n v="1102.1767649201399"/>
    <n v="13"/>
    <n v="245.174269562858"/>
    <x v="0"/>
  </r>
  <r>
    <x v="169"/>
    <x v="3"/>
    <n v="1186.3655640817101"/>
    <n v="9"/>
    <n v="278.88639621982003"/>
    <x v="0"/>
  </r>
  <r>
    <x v="169"/>
    <x v="5"/>
    <n v="951.13612676216701"/>
    <n v="10"/>
    <n v="208.974684615337"/>
    <x v="0"/>
  </r>
  <r>
    <x v="170"/>
    <x v="0"/>
    <n v="1427.3386039397899"/>
    <n v="6"/>
    <n v="561.08978311048304"/>
    <x v="0"/>
  </r>
  <r>
    <x v="170"/>
    <x v="1"/>
    <n v="1209.2870112197299"/>
    <n v="10"/>
    <n v="123.947060542805"/>
    <x v="2"/>
  </r>
  <r>
    <x v="170"/>
    <x v="2"/>
    <n v="1218.4146587289499"/>
    <n v="15"/>
    <n v="216.40688302870299"/>
    <x v="0"/>
  </r>
  <r>
    <x v="170"/>
    <x v="3"/>
    <n v="903.15266087601697"/>
    <n v="9"/>
    <n v="209.09383444846"/>
    <x v="1"/>
  </r>
  <r>
    <x v="170"/>
    <x v="5"/>
    <n v="1524.8751712616199"/>
    <n v="9"/>
    <n v="263.203555324143"/>
    <x v="3"/>
  </r>
  <r>
    <x v="171"/>
    <x v="0"/>
    <n v="1414.4362236071399"/>
    <n v="13"/>
    <n v="180.22385099980301"/>
    <x v="0"/>
  </r>
  <r>
    <x v="171"/>
    <x v="1"/>
    <n v="708.065391933603"/>
    <n v="1"/>
    <n v="213.73768171743501"/>
    <x v="2"/>
  </r>
  <r>
    <x v="171"/>
    <x v="2"/>
    <n v="436.76713442916702"/>
    <n v="16"/>
    <n v="87.3143194299454"/>
    <x v="2"/>
  </r>
  <r>
    <x v="171"/>
    <x v="3"/>
    <n v="1149.90553309088"/>
    <n v="13"/>
    <n v="386.403734862345"/>
    <x v="1"/>
  </r>
  <r>
    <x v="171"/>
    <x v="5"/>
    <n v="1141.6006812757801"/>
    <n v="10"/>
    <n v="290.06168432130801"/>
    <x v="1"/>
  </r>
  <r>
    <x v="172"/>
    <x v="0"/>
    <n v="1046.3010061193199"/>
    <n v="19"/>
    <n v="346.55870627556197"/>
    <x v="0"/>
  </r>
  <r>
    <x v="172"/>
    <x v="1"/>
    <n v="1513.5811587451001"/>
    <n v="9"/>
    <n v="244.99614955670901"/>
    <x v="1"/>
  </r>
  <r>
    <x v="172"/>
    <x v="2"/>
    <n v="484.66177125752102"/>
    <n v="1"/>
    <n v="178.64818356299301"/>
    <x v="0"/>
  </r>
  <r>
    <x v="172"/>
    <x v="3"/>
    <n v="1085.46059304712"/>
    <n v="18"/>
    <n v="364.94933600957199"/>
    <x v="0"/>
  </r>
  <r>
    <x v="172"/>
    <x v="5"/>
    <n v="1299.79891337192"/>
    <n v="6"/>
    <n v="296.71861600838702"/>
    <x v="3"/>
  </r>
  <r>
    <x v="173"/>
    <x v="0"/>
    <n v="928.87690273432599"/>
    <n v="18"/>
    <n v="273.82984319219997"/>
    <x v="0"/>
  </r>
  <r>
    <x v="173"/>
    <x v="1"/>
    <n v="881.06925117057494"/>
    <n v="11"/>
    <n v="246.39420558153799"/>
    <x v="0"/>
  </r>
  <r>
    <x v="173"/>
    <x v="2"/>
    <n v="1418.9885438521901"/>
    <n v="4"/>
    <n v="393.15886884797902"/>
    <x v="1"/>
  </r>
  <r>
    <x v="173"/>
    <x v="3"/>
    <n v="995.84867617172802"/>
    <n v="4"/>
    <n v="162.33210251907201"/>
    <x v="0"/>
  </r>
  <r>
    <x v="173"/>
    <x v="5"/>
    <n v="793.08166778074701"/>
    <n v="3"/>
    <n v="176.77894745395301"/>
    <x v="2"/>
  </r>
  <r>
    <x v="174"/>
    <x v="0"/>
    <n v="1221.1873949641099"/>
    <n v="16"/>
    <n v="311.31402549979799"/>
    <x v="0"/>
  </r>
  <r>
    <x v="174"/>
    <x v="1"/>
    <n v="952.41499688460306"/>
    <n v="10"/>
    <n v="364.54578538308402"/>
    <x v="2"/>
  </r>
  <r>
    <x v="174"/>
    <x v="2"/>
    <n v="1040.71557716439"/>
    <n v="19"/>
    <n v="138.55000585660699"/>
    <x v="0"/>
  </r>
  <r>
    <x v="174"/>
    <x v="3"/>
    <n v="1049.4730430279601"/>
    <n v="1"/>
    <n v="202.48749359999999"/>
    <x v="3"/>
  </r>
  <r>
    <x v="174"/>
    <x v="5"/>
    <n v="1560.8845991513499"/>
    <n v="13"/>
    <n v="300.21859192117302"/>
    <x v="3"/>
  </r>
  <r>
    <x v="175"/>
    <x v="0"/>
    <n v="404.30135308020499"/>
    <n v="5"/>
    <n v="80.060870863503894"/>
    <x v="2"/>
  </r>
  <r>
    <x v="175"/>
    <x v="1"/>
    <n v="576.95769849999999"/>
    <n v="16"/>
    <n v="209.37554284112599"/>
    <x v="0"/>
  </r>
  <r>
    <x v="175"/>
    <x v="2"/>
    <n v="765.83797053120202"/>
    <n v="9"/>
    <n v="94.421873347235007"/>
    <x v="0"/>
  </r>
  <r>
    <x v="175"/>
    <x v="3"/>
    <n v="579.79780266443095"/>
    <n v="5"/>
    <n v="175.72641382109401"/>
    <x v="0"/>
  </r>
  <r>
    <x v="175"/>
    <x v="5"/>
    <n v="1004.29961795324"/>
    <n v="12"/>
    <n v="359.16695309409499"/>
    <x v="1"/>
  </r>
  <r>
    <x v="176"/>
    <x v="0"/>
    <n v="936.15752155551797"/>
    <n v="9"/>
    <n v="138.65393649644199"/>
    <x v="0"/>
  </r>
  <r>
    <x v="176"/>
    <x v="1"/>
    <n v="988.78784206041598"/>
    <n v="13"/>
    <n v="313.02923710471299"/>
    <x v="3"/>
  </r>
  <r>
    <x v="176"/>
    <x v="2"/>
    <n v="874.78995591847399"/>
    <n v="17"/>
    <n v="281.84669043486002"/>
    <x v="0"/>
  </r>
  <r>
    <x v="176"/>
    <x v="3"/>
    <n v="911.47302569999999"/>
    <n v="2"/>
    <n v="236.58806703136"/>
    <x v="3"/>
  </r>
  <r>
    <x v="176"/>
    <x v="5"/>
    <n v="626.28478706608405"/>
    <n v="1"/>
    <n v="127.492159113518"/>
    <x v="2"/>
  </r>
  <r>
    <x v="177"/>
    <x v="0"/>
    <n v="1016.48023329995"/>
    <n v="11"/>
    <n v="324.993288183066"/>
    <x v="1"/>
  </r>
  <r>
    <x v="177"/>
    <x v="1"/>
    <n v="787.12604357524799"/>
    <n v="19"/>
    <n v="131.220516572722"/>
    <x v="0"/>
  </r>
  <r>
    <x v="177"/>
    <x v="2"/>
    <n v="622.44852679739904"/>
    <n v="10"/>
    <n v="175.733281354756"/>
    <x v="2"/>
  </r>
  <r>
    <x v="177"/>
    <x v="3"/>
    <n v="847.48318862257895"/>
    <n v="19"/>
    <n v="170.091697970589"/>
    <x v="2"/>
  </r>
  <r>
    <x v="177"/>
    <x v="5"/>
    <n v="801.77738918940702"/>
    <n v="8"/>
    <n v="317.40282343912099"/>
    <x v="0"/>
  </r>
  <r>
    <x v="178"/>
    <x v="0"/>
    <n v="524.20500632861194"/>
    <n v="19"/>
    <n v="159.19767820486001"/>
    <x v="3"/>
  </r>
  <r>
    <x v="178"/>
    <x v="1"/>
    <n v="436.02268445828599"/>
    <n v="15"/>
    <n v="142.17757461316199"/>
    <x v="0"/>
  </r>
  <r>
    <x v="178"/>
    <x v="2"/>
    <n v="209.275678294936"/>
    <n v="1"/>
    <n v="60.569754737363503"/>
    <x v="3"/>
  </r>
  <r>
    <x v="178"/>
    <x v="3"/>
    <n v="1001.0126519791399"/>
    <n v="15"/>
    <n v="134.75471423542501"/>
    <x v="0"/>
  </r>
  <r>
    <x v="178"/>
    <x v="5"/>
    <n v="1227.29886188199"/>
    <n v="7"/>
    <n v="175.32282044188401"/>
    <x v="2"/>
  </r>
  <r>
    <x v="179"/>
    <x v="0"/>
    <n v="997.74539071876598"/>
    <n v="17"/>
    <n v="161.510667843683"/>
    <x v="0"/>
  </r>
  <r>
    <x v="179"/>
    <x v="1"/>
    <n v="1224.7269532759201"/>
    <n v="17"/>
    <n v="472.04970444555101"/>
    <x v="0"/>
  </r>
  <r>
    <x v="179"/>
    <x v="2"/>
    <n v="1332.6365147426"/>
    <n v="17"/>
    <n v="377.670495148035"/>
    <x v="1"/>
  </r>
  <r>
    <x v="179"/>
    <x v="3"/>
    <n v="986.28993067096599"/>
    <n v="15"/>
    <n v="360.67234982955301"/>
    <x v="1"/>
  </r>
  <r>
    <x v="179"/>
    <x v="5"/>
    <n v="770.50241537316106"/>
    <n v="16"/>
    <n v="79.356842992657505"/>
    <x v="3"/>
  </r>
  <r>
    <x v="180"/>
    <x v="0"/>
    <n v="1315.3285362097899"/>
    <n v="16"/>
    <n v="211.80859393671"/>
    <x v="3"/>
  </r>
  <r>
    <x v="180"/>
    <x v="1"/>
    <n v="1246.22779119439"/>
    <n v="19"/>
    <n v="231.36547204354801"/>
    <x v="1"/>
  </r>
  <r>
    <x v="180"/>
    <x v="2"/>
    <n v="604.22584162036901"/>
    <n v="2"/>
    <n v="133.75783523471799"/>
    <x v="1"/>
  </r>
  <r>
    <x v="180"/>
    <x v="3"/>
    <n v="939.10580878130202"/>
    <n v="3"/>
    <n v="97.676681577784393"/>
    <x v="2"/>
  </r>
  <r>
    <x v="180"/>
    <x v="5"/>
    <n v="1371.2314404052399"/>
    <n v="19"/>
    <n v="252.66939855237999"/>
    <x v="2"/>
  </r>
  <r>
    <x v="181"/>
    <x v="0"/>
    <n v="862.80950350000001"/>
    <n v="8"/>
    <n v="313.37684299945602"/>
    <x v="3"/>
  </r>
  <r>
    <x v="181"/>
    <x v="1"/>
    <n v="1171.5634198534999"/>
    <n v="15"/>
    <n v="140.55178206839199"/>
    <x v="0"/>
  </r>
  <r>
    <x v="181"/>
    <x v="2"/>
    <n v="775.36492340679501"/>
    <n v="17"/>
    <n v="94.774115930316498"/>
    <x v="2"/>
  </r>
  <r>
    <x v="181"/>
    <x v="3"/>
    <n v="1087.79541622017"/>
    <n v="10"/>
    <n v="213.587156872256"/>
    <x v="1"/>
  </r>
  <r>
    <x v="181"/>
    <x v="5"/>
    <n v="1002.39906988517"/>
    <n v="3"/>
    <n v="205.64834425174899"/>
    <x v="3"/>
  </r>
  <r>
    <x v="182"/>
    <x v="0"/>
    <n v="1463.8270504704101"/>
    <n v="4"/>
    <n v="350.25217596642699"/>
    <x v="3"/>
  </r>
  <r>
    <x v="182"/>
    <x v="1"/>
    <n v="1243.34297773297"/>
    <n v="11"/>
    <n v="369.29629569999997"/>
    <x v="1"/>
  </r>
  <r>
    <x v="182"/>
    <x v="2"/>
    <n v="945.04182453342196"/>
    <n v="2"/>
    <n v="282.099980605692"/>
    <x v="0"/>
  </r>
  <r>
    <x v="182"/>
    <x v="3"/>
    <n v="1195.3484381956901"/>
    <n v="9"/>
    <n v="121.44028027203299"/>
    <x v="3"/>
  </r>
  <r>
    <x v="182"/>
    <x v="5"/>
    <n v="1031.18165024466"/>
    <n v="9"/>
    <n v="283.69258722458602"/>
    <x v="0"/>
  </r>
  <r>
    <x v="183"/>
    <x v="0"/>
    <n v="826.28423561582304"/>
    <n v="16"/>
    <n v="268.97543025806903"/>
    <x v="1"/>
  </r>
  <r>
    <x v="183"/>
    <x v="1"/>
    <n v="1337.88896779724"/>
    <n v="3"/>
    <n v="403.16915056653102"/>
    <x v="3"/>
  </r>
  <r>
    <x v="183"/>
    <x v="2"/>
    <n v="1231.97629639511"/>
    <n v="12"/>
    <n v="397.52912939999999"/>
    <x v="1"/>
  </r>
  <r>
    <x v="183"/>
    <x v="3"/>
    <n v="630.55937542173695"/>
    <n v="6"/>
    <n v="204.92759720000001"/>
    <x v="0"/>
  </r>
  <r>
    <x v="183"/>
    <x v="5"/>
    <n v="1392.2452568629999"/>
    <n v="16"/>
    <n v="456.11986780000001"/>
    <x v="1"/>
  </r>
  <r>
    <x v="184"/>
    <x v="0"/>
    <n v="1440.70701926223"/>
    <n v="10"/>
    <n v="394.23798813274601"/>
    <x v="2"/>
  </r>
  <r>
    <x v="184"/>
    <x v="1"/>
    <n v="892.61685057960506"/>
    <n v="10"/>
    <n v="171.44612705688101"/>
    <x v="0"/>
  </r>
  <r>
    <x v="184"/>
    <x v="2"/>
    <n v="703.65079572386003"/>
    <n v="8"/>
    <n v="194.595669345998"/>
    <x v="0"/>
  </r>
  <r>
    <x v="184"/>
    <x v="3"/>
    <n v="1279.9697344946901"/>
    <n v="8"/>
    <n v="358.30371270000001"/>
    <x v="2"/>
  </r>
  <r>
    <x v="184"/>
    <x v="5"/>
    <n v="1255.1943003346701"/>
    <n v="12"/>
    <n v="406.33904729496999"/>
    <x v="3"/>
  </r>
  <r>
    <x v="185"/>
    <x v="0"/>
    <n v="952.97737726531705"/>
    <n v="17"/>
    <n v="262.45037666761601"/>
    <x v="2"/>
  </r>
  <r>
    <x v="185"/>
    <x v="1"/>
    <n v="1346.765525"/>
    <n v="18"/>
    <n v="521.938104859242"/>
    <x v="0"/>
  </r>
  <r>
    <x v="185"/>
    <x v="2"/>
    <n v="873.71833429231401"/>
    <n v="6"/>
    <n v="227.14529073038599"/>
    <x v="1"/>
  </r>
  <r>
    <x v="185"/>
    <x v="3"/>
    <n v="1051.5518019380499"/>
    <n v="1"/>
    <n v="271.94951488329002"/>
    <x v="3"/>
  </r>
  <r>
    <x v="185"/>
    <x v="5"/>
    <n v="1165.9753659954299"/>
    <n v="14"/>
    <n v="193.10264167379501"/>
    <x v="3"/>
  </r>
  <r>
    <x v="186"/>
    <x v="0"/>
    <n v="1184.2076941775399"/>
    <n v="6"/>
    <n v="397.90859045952698"/>
    <x v="2"/>
  </r>
  <r>
    <x v="186"/>
    <x v="1"/>
    <n v="1158.51784356031"/>
    <n v="5"/>
    <n v="375.76708412375899"/>
    <x v="0"/>
  </r>
  <r>
    <x v="186"/>
    <x v="2"/>
    <n v="861.97712375995002"/>
    <n v="6"/>
    <n v="193.57617807592899"/>
    <x v="3"/>
  </r>
  <r>
    <x v="186"/>
    <x v="3"/>
    <n v="980.08371472300803"/>
    <n v="3"/>
    <n v="340.38118017403201"/>
    <x v="3"/>
  </r>
  <r>
    <x v="186"/>
    <x v="5"/>
    <n v="1028.60325983239"/>
    <n v="6"/>
    <n v="235.236915776394"/>
    <x v="2"/>
  </r>
  <r>
    <x v="187"/>
    <x v="0"/>
    <n v="920.96553517532504"/>
    <n v="8"/>
    <n v="295.508981560363"/>
    <x v="1"/>
  </r>
  <r>
    <x v="187"/>
    <x v="1"/>
    <n v="859.25529100000006"/>
    <n v="6"/>
    <n v="110.39315092645199"/>
    <x v="3"/>
  </r>
  <r>
    <x v="187"/>
    <x v="2"/>
    <n v="1193.3884738953"/>
    <n v="12"/>
    <n v="236.28110200553999"/>
    <x v="1"/>
  </r>
  <r>
    <x v="187"/>
    <x v="3"/>
    <n v="1180.7398290000001"/>
    <n v="3"/>
    <n v="471.45582236836901"/>
    <x v="1"/>
  </r>
  <r>
    <x v="187"/>
    <x v="5"/>
    <n v="1312.5556431243999"/>
    <n v="15"/>
    <n v="250.97255924712201"/>
    <x v="0"/>
  </r>
  <r>
    <x v="188"/>
    <x v="0"/>
    <n v="1364.43911706831"/>
    <n v="11"/>
    <n v="142.05116311434799"/>
    <x v="3"/>
  </r>
  <r>
    <x v="188"/>
    <x v="1"/>
    <n v="820.72940926990998"/>
    <n v="16"/>
    <n v="158.94156318602401"/>
    <x v="2"/>
  </r>
  <r>
    <x v="188"/>
    <x v="2"/>
    <n v="1400.47097435303"/>
    <n v="15"/>
    <n v="355.00638914160299"/>
    <x v="2"/>
  </r>
  <r>
    <x v="188"/>
    <x v="3"/>
    <n v="1188.9249635195999"/>
    <n v="3"/>
    <n v="453.603554206811"/>
    <x v="0"/>
  </r>
  <r>
    <x v="188"/>
    <x v="5"/>
    <n v="1074.79257869251"/>
    <n v="4"/>
    <n v="426.911639633145"/>
    <x v="1"/>
  </r>
  <r>
    <x v="189"/>
    <x v="0"/>
    <n v="1313.5265422254199"/>
    <n v="19"/>
    <n v="305.64205009912899"/>
    <x v="2"/>
  </r>
  <r>
    <x v="189"/>
    <x v="1"/>
    <n v="1070.12415292687"/>
    <n v="16"/>
    <n v="298.62409804588498"/>
    <x v="3"/>
  </r>
  <r>
    <x v="189"/>
    <x v="2"/>
    <n v="678.40752511774599"/>
    <n v="11"/>
    <n v="256.94132519060798"/>
    <x v="1"/>
  </r>
  <r>
    <x v="189"/>
    <x v="3"/>
    <n v="1455.0840369125899"/>
    <n v="5"/>
    <n v="580.12648391687901"/>
    <x v="3"/>
  </r>
  <r>
    <x v="189"/>
    <x v="5"/>
    <n v="1405.3407739783599"/>
    <n v="18"/>
    <n v="414.368491992114"/>
    <x v="0"/>
  </r>
  <r>
    <x v="190"/>
    <x v="0"/>
    <n v="1210.5547856476201"/>
    <n v="14"/>
    <n v="140.42968048265001"/>
    <x v="1"/>
  </r>
  <r>
    <x v="190"/>
    <x v="1"/>
    <n v="981.41417620000004"/>
    <n v="18"/>
    <n v="204.84998898808399"/>
    <x v="2"/>
  </r>
  <r>
    <x v="190"/>
    <x v="2"/>
    <n v="1167.4875024267301"/>
    <n v="12"/>
    <n v="291.99777029602302"/>
    <x v="0"/>
  </r>
  <r>
    <x v="190"/>
    <x v="3"/>
    <n v="951.88869982526501"/>
    <n v="9"/>
    <n v="115.121606292948"/>
    <x v="2"/>
  </r>
  <r>
    <x v="190"/>
    <x v="5"/>
    <n v="1121.2304965026999"/>
    <n v="4"/>
    <n v="251.321841972697"/>
    <x v="3"/>
  </r>
  <r>
    <x v="191"/>
    <x v="0"/>
    <n v="693.40776689999996"/>
    <n v="12"/>
    <n v="78.148916178761894"/>
    <x v="2"/>
  </r>
  <r>
    <x v="191"/>
    <x v="1"/>
    <n v="1285.77951839467"/>
    <n v="14"/>
    <n v="151.95531655567601"/>
    <x v="2"/>
  </r>
  <r>
    <x v="191"/>
    <x v="2"/>
    <n v="1142.1079410196601"/>
    <n v="16"/>
    <n v="122.76503026413999"/>
    <x v="1"/>
  </r>
  <r>
    <x v="191"/>
    <x v="3"/>
    <n v="1253.9554275181999"/>
    <n v="6"/>
    <n v="327.00715302902199"/>
    <x v="3"/>
  </r>
  <r>
    <x v="191"/>
    <x v="5"/>
    <n v="1149.9299315487999"/>
    <n v="13"/>
    <n v="168.01317226813001"/>
    <x v="0"/>
  </r>
  <r>
    <x v="192"/>
    <x v="0"/>
    <n v="1133.38581172042"/>
    <n v="11"/>
    <n v="314.91357593374198"/>
    <x v="3"/>
  </r>
  <r>
    <x v="192"/>
    <x v="1"/>
    <n v="1312.2728050918299"/>
    <n v="11"/>
    <n v="151.69454433559099"/>
    <x v="3"/>
  </r>
  <r>
    <x v="192"/>
    <x v="2"/>
    <n v="1061.9939314295"/>
    <n v="16"/>
    <n v="326.24871079904"/>
    <x v="1"/>
  </r>
  <r>
    <x v="192"/>
    <x v="3"/>
    <n v="1221.5472497819001"/>
    <n v="7"/>
    <n v="305.96425001584998"/>
    <x v="1"/>
  </r>
  <r>
    <x v="192"/>
    <x v="5"/>
    <n v="950.05926152943096"/>
    <n v="9"/>
    <n v="379.23645697841602"/>
    <x v="3"/>
  </r>
  <r>
    <x v="193"/>
    <x v="0"/>
    <n v="1063.5636035955399"/>
    <n v="5"/>
    <n v="392.67806254882697"/>
    <x v="1"/>
  </r>
  <r>
    <x v="193"/>
    <x v="1"/>
    <n v="1487.6295577476301"/>
    <n v="15"/>
    <n v="526.94275549373594"/>
    <x v="2"/>
  </r>
  <r>
    <x v="193"/>
    <x v="2"/>
    <n v="1422.2579372615101"/>
    <n v="14"/>
    <n v="285.281780777557"/>
    <x v="1"/>
  </r>
  <r>
    <x v="193"/>
    <x v="3"/>
    <n v="395.438203493375"/>
    <n v="17"/>
    <n v="140.682766544462"/>
    <x v="2"/>
  </r>
  <r>
    <x v="193"/>
    <x v="5"/>
    <n v="624.57583825473102"/>
    <n v="19"/>
    <n v="165.86432135363799"/>
    <x v="2"/>
  </r>
  <r>
    <x v="194"/>
    <x v="0"/>
    <n v="946.96775106526502"/>
    <n v="6"/>
    <n v="362.418797129822"/>
    <x v="3"/>
  </r>
  <r>
    <x v="194"/>
    <x v="1"/>
    <n v="535.41451029999996"/>
    <n v="15"/>
    <n v="77.197493159999993"/>
    <x v="1"/>
  </r>
  <r>
    <x v="194"/>
    <x v="2"/>
    <n v="876.58305099175197"/>
    <n v="8"/>
    <n v="145.43567969264501"/>
    <x v="3"/>
  </r>
  <r>
    <x v="194"/>
    <x v="3"/>
    <n v="854.78510908389399"/>
    <n v="10"/>
    <n v="151.24475258455101"/>
    <x v="0"/>
  </r>
  <r>
    <x v="194"/>
    <x v="5"/>
    <n v="593.71598366935496"/>
    <n v="4"/>
    <n v="96.865998792725904"/>
    <x v="2"/>
  </r>
  <r>
    <x v="195"/>
    <x v="0"/>
    <n v="699.06639518800603"/>
    <n v="4"/>
    <n v="100.719093366938"/>
    <x v="3"/>
  </r>
  <r>
    <x v="195"/>
    <x v="1"/>
    <n v="853.34504717716902"/>
    <n v="11"/>
    <n v="229.569025928862"/>
    <x v="3"/>
  </r>
  <r>
    <x v="195"/>
    <x v="2"/>
    <n v="916.47013519999996"/>
    <n v="5"/>
    <n v="223.20523362936501"/>
    <x v="2"/>
  </r>
  <r>
    <x v="195"/>
    <x v="3"/>
    <n v="650.29852291340001"/>
    <n v="3"/>
    <n v="65.642610260451093"/>
    <x v="3"/>
  </r>
  <r>
    <x v="195"/>
    <x v="5"/>
    <n v="1005.41249459022"/>
    <n v="17"/>
    <n v="233.78248209920699"/>
    <x v="1"/>
  </r>
  <r>
    <x v="196"/>
    <x v="0"/>
    <n v="1274.61708266804"/>
    <n v="10"/>
    <n v="235.26335667154299"/>
    <x v="2"/>
  </r>
  <r>
    <x v="196"/>
    <x v="1"/>
    <n v="835.13791762133906"/>
    <n v="9"/>
    <n v="131.298542996013"/>
    <x v="0"/>
  </r>
  <r>
    <x v="196"/>
    <x v="2"/>
    <n v="1549.76711304376"/>
    <n v="8"/>
    <n v="463.78410270817"/>
    <x v="2"/>
  </r>
  <r>
    <x v="196"/>
    <x v="3"/>
    <n v="1244.245529"/>
    <n v="15"/>
    <n v="141.20747466193501"/>
    <x v="1"/>
  </r>
  <r>
    <x v="196"/>
    <x v="5"/>
    <n v="916.33498180000004"/>
    <n v="18"/>
    <n v="221.075167257582"/>
    <x v="0"/>
  </r>
  <r>
    <x v="197"/>
    <x v="0"/>
    <n v="1253.5473913552901"/>
    <n v="12"/>
    <n v="307.06177236342398"/>
    <x v="1"/>
  </r>
  <r>
    <x v="197"/>
    <x v="1"/>
    <n v="759.56230878108101"/>
    <n v="16"/>
    <n v="168.65430902834399"/>
    <x v="1"/>
  </r>
  <r>
    <x v="197"/>
    <x v="2"/>
    <n v="1099.24327757792"/>
    <n v="7"/>
    <n v="259.63793515013299"/>
    <x v="0"/>
  </r>
  <r>
    <x v="197"/>
    <x v="3"/>
    <n v="1277.6194272390101"/>
    <n v="13"/>
    <n v="492.43726068786299"/>
    <x v="0"/>
  </r>
  <r>
    <x v="197"/>
    <x v="5"/>
    <n v="1009.53447044847"/>
    <n v="6"/>
    <n v="272.89553622484601"/>
    <x v="0"/>
  </r>
  <r>
    <x v="198"/>
    <x v="0"/>
    <n v="1329.2874894583399"/>
    <n v="4"/>
    <n v="519.84526049413705"/>
    <x v="3"/>
  </r>
  <r>
    <x v="198"/>
    <x v="1"/>
    <n v="1011.49017625672"/>
    <n v="13"/>
    <n v="301.92999750000001"/>
    <x v="2"/>
  </r>
  <r>
    <x v="198"/>
    <x v="2"/>
    <n v="1069.7784724683399"/>
    <n v="3"/>
    <n v="165.656623504104"/>
    <x v="2"/>
  </r>
  <r>
    <x v="198"/>
    <x v="3"/>
    <n v="934.07485124718096"/>
    <n v="16"/>
    <n v="173.46916125363001"/>
    <x v="0"/>
  </r>
  <r>
    <x v="198"/>
    <x v="5"/>
    <n v="1468.28493972972"/>
    <n v="6"/>
    <n v="311.81155745990998"/>
    <x v="1"/>
  </r>
  <r>
    <x v="199"/>
    <x v="0"/>
    <n v="1610.5098104097699"/>
    <n v="10"/>
    <n v="338.55689288704502"/>
    <x v="1"/>
  </r>
  <r>
    <x v="199"/>
    <x v="1"/>
    <n v="1371.4713821939199"/>
    <n v="5"/>
    <n v="209.20005069999999"/>
    <x v="0"/>
  </r>
  <r>
    <x v="199"/>
    <x v="2"/>
    <n v="736.90222164683405"/>
    <n v="9"/>
    <n v="129.54284854120701"/>
    <x v="0"/>
  </r>
  <r>
    <x v="199"/>
    <x v="3"/>
    <n v="891.80562638014203"/>
    <n v="4"/>
    <n v="89.3553719051597"/>
    <x v="1"/>
  </r>
  <r>
    <x v="199"/>
    <x v="5"/>
    <n v="1161.67575554312"/>
    <n v="10"/>
    <n v="392.389029096596"/>
    <x v="3"/>
  </r>
  <r>
    <x v="200"/>
    <x v="0"/>
    <n v="604.20342586607103"/>
    <n v="4"/>
    <n v="143.496548388126"/>
    <x v="1"/>
  </r>
  <r>
    <x v="200"/>
    <x v="1"/>
    <n v="817.61546581444395"/>
    <n v="13"/>
    <n v="104.763488040871"/>
    <x v="2"/>
  </r>
  <r>
    <x v="200"/>
    <x v="2"/>
    <n v="1042.6276736861"/>
    <n v="15"/>
    <n v="388.41046842523099"/>
    <x v="1"/>
  </r>
  <r>
    <x v="200"/>
    <x v="3"/>
    <n v="1172.4103784996"/>
    <n v="5"/>
    <n v="281.24931921563501"/>
    <x v="0"/>
  </r>
  <r>
    <x v="200"/>
    <x v="5"/>
    <n v="1259.3589725622301"/>
    <n v="18"/>
    <n v="319.72183638676802"/>
    <x v="2"/>
  </r>
  <r>
    <x v="201"/>
    <x v="0"/>
    <n v="1455.6659744357901"/>
    <n v="7"/>
    <n v="553.95605350000005"/>
    <x v="2"/>
  </r>
  <r>
    <x v="201"/>
    <x v="1"/>
    <n v="1351.4986935341601"/>
    <n v="13"/>
    <n v="408.58494385736401"/>
    <x v="2"/>
  </r>
  <r>
    <x v="201"/>
    <x v="2"/>
    <n v="890.39921409625799"/>
    <n v="16"/>
    <n v="179.97057601965199"/>
    <x v="3"/>
  </r>
  <r>
    <x v="201"/>
    <x v="3"/>
    <n v="1210.39750137032"/>
    <n v="10"/>
    <n v="401.93164191646002"/>
    <x v="0"/>
  </r>
  <r>
    <x v="201"/>
    <x v="5"/>
    <n v="661.87076444591196"/>
    <n v="1"/>
    <n v="235.55623003700799"/>
    <x v="0"/>
  </r>
  <r>
    <x v="202"/>
    <x v="0"/>
    <n v="913.76574417989298"/>
    <n v="3"/>
    <n v="297.99748655150501"/>
    <x v="3"/>
  </r>
  <r>
    <x v="202"/>
    <x v="1"/>
    <n v="1086.1986713209001"/>
    <n v="9"/>
    <n v="218.11099344094001"/>
    <x v="3"/>
  </r>
  <r>
    <x v="202"/>
    <x v="2"/>
    <n v="829.05012152837196"/>
    <n v="8"/>
    <n v="152.80631101225001"/>
    <x v="2"/>
  </r>
  <r>
    <x v="202"/>
    <x v="3"/>
    <n v="1098.8526206719"/>
    <n v="12"/>
    <n v="235.07254891640099"/>
    <x v="3"/>
  </r>
  <r>
    <x v="202"/>
    <x v="5"/>
    <n v="1573.7228229750301"/>
    <n v="1"/>
    <n v="269.23249657618902"/>
    <x v="0"/>
  </r>
  <r>
    <x v="203"/>
    <x v="0"/>
    <n v="1259.24626404126"/>
    <n v="8"/>
    <n v="476.93123057487497"/>
    <x v="2"/>
  </r>
  <r>
    <x v="203"/>
    <x v="1"/>
    <n v="569.66039739999997"/>
    <n v="13"/>
    <n v="198.27461268689399"/>
    <x v="2"/>
  </r>
  <r>
    <x v="203"/>
    <x v="2"/>
    <n v="682.80015484757996"/>
    <n v="8"/>
    <n v="227.08104307602801"/>
    <x v="1"/>
  </r>
  <r>
    <x v="203"/>
    <x v="3"/>
    <n v="497.95456009716497"/>
    <n v="19"/>
    <n v="93.681571647580995"/>
    <x v="3"/>
  </r>
  <r>
    <x v="203"/>
    <x v="5"/>
    <n v="802.99456296696599"/>
    <n v="19"/>
    <n v="233.77453055382401"/>
    <x v="1"/>
  </r>
  <r>
    <x v="204"/>
    <x v="0"/>
    <n v="1473.4354172686501"/>
    <n v="6"/>
    <n v="278.03190359331501"/>
    <x v="2"/>
  </r>
  <r>
    <x v="204"/>
    <x v="1"/>
    <n v="1295.63490568456"/>
    <n v="5"/>
    <n v="473.49824365662698"/>
    <x v="3"/>
  </r>
  <r>
    <x v="204"/>
    <x v="2"/>
    <n v="1203.1440599072801"/>
    <n v="4"/>
    <n v="468.032780119238"/>
    <x v="3"/>
  </r>
  <r>
    <x v="204"/>
    <x v="3"/>
    <n v="926.40983760024005"/>
    <n v="17"/>
    <n v="288.92300158760798"/>
    <x v="1"/>
  </r>
  <r>
    <x v="204"/>
    <x v="5"/>
    <n v="1416.98922058126"/>
    <n v="3"/>
    <n v="202.171164458611"/>
    <x v="3"/>
  </r>
  <r>
    <x v="205"/>
    <x v="0"/>
    <n v="908.87206554406703"/>
    <n v="1"/>
    <n v="115.151286340506"/>
    <x v="3"/>
  </r>
  <r>
    <x v="205"/>
    <x v="1"/>
    <n v="859.46984550000002"/>
    <n v="4"/>
    <n v="137.12611251979101"/>
    <x v="1"/>
  </r>
  <r>
    <x v="205"/>
    <x v="2"/>
    <n v="653.59157721014003"/>
    <n v="9"/>
    <n v="112.415665774641"/>
    <x v="3"/>
  </r>
  <r>
    <x v="205"/>
    <x v="3"/>
    <n v="671.37972909722896"/>
    <n v="14"/>
    <n v="157.52827046486701"/>
    <x v="1"/>
  </r>
  <r>
    <x v="205"/>
    <x v="5"/>
    <n v="1089.5175539698901"/>
    <n v="2"/>
    <n v="170.855991414557"/>
    <x v="3"/>
  </r>
  <r>
    <x v="206"/>
    <x v="0"/>
    <n v="1622.6912626497499"/>
    <n v="8"/>
    <n v="443.59078406446702"/>
    <x v="1"/>
  </r>
  <r>
    <x v="206"/>
    <x v="1"/>
    <n v="888.31825471432001"/>
    <n v="5"/>
    <n v="119.424687290159"/>
    <x v="1"/>
  </r>
  <r>
    <x v="206"/>
    <x v="2"/>
    <n v="1190.6338084943"/>
    <n v="15"/>
    <n v="262.79892997087597"/>
    <x v="1"/>
  </r>
  <r>
    <x v="206"/>
    <x v="3"/>
    <n v="664.774547945981"/>
    <n v="18"/>
    <n v="245.08167105181499"/>
    <x v="1"/>
  </r>
  <r>
    <x v="206"/>
    <x v="5"/>
    <n v="686.99954708489895"/>
    <n v="16"/>
    <n v="124.683516461106"/>
    <x v="0"/>
  </r>
  <r>
    <x v="207"/>
    <x v="0"/>
    <n v="681.11000319250104"/>
    <n v="2"/>
    <n v="105.8375044"/>
    <x v="2"/>
  </r>
  <r>
    <x v="207"/>
    <x v="1"/>
    <n v="1305.57199095581"/>
    <n v="1"/>
    <n v="176.35282701522399"/>
    <x v="0"/>
  </r>
  <r>
    <x v="207"/>
    <x v="2"/>
    <n v="1087.34329247081"/>
    <n v="15"/>
    <n v="418.59443908336698"/>
    <x v="2"/>
  </r>
  <r>
    <x v="207"/>
    <x v="3"/>
    <n v="589.50548835015604"/>
    <n v="5"/>
    <n v="121.756165466327"/>
    <x v="1"/>
  </r>
  <r>
    <x v="207"/>
    <x v="5"/>
    <n v="1596.1827997692401"/>
    <n v="16"/>
    <n v="263.964919586463"/>
    <x v="1"/>
  </r>
  <r>
    <x v="208"/>
    <x v="0"/>
    <n v="1163.04381360102"/>
    <n v="3"/>
    <n v="314.00040369724502"/>
    <x v="1"/>
  </r>
  <r>
    <x v="208"/>
    <x v="1"/>
    <n v="1059.9431301156101"/>
    <n v="3"/>
    <n v="236.63985859824501"/>
    <x v="2"/>
  </r>
  <r>
    <x v="208"/>
    <x v="2"/>
    <n v="1140.0148702015499"/>
    <n v="5"/>
    <n v="147.77005224667701"/>
    <x v="0"/>
  </r>
  <r>
    <x v="208"/>
    <x v="3"/>
    <n v="1151.9100932578699"/>
    <n v="5"/>
    <n v="156.213670909325"/>
    <x v="0"/>
  </r>
  <r>
    <x v="208"/>
    <x v="5"/>
    <n v="572.62490808067196"/>
    <n v="16"/>
    <n v="191.85798934063101"/>
    <x v="3"/>
  </r>
  <r>
    <x v="209"/>
    <x v="0"/>
    <n v="1132.8356575965499"/>
    <n v="19"/>
    <n v="337.14921459098798"/>
    <x v="3"/>
  </r>
  <r>
    <x v="209"/>
    <x v="1"/>
    <n v="1130.4493662300499"/>
    <n v="13"/>
    <n v="305.66479195378201"/>
    <x v="1"/>
  </r>
  <r>
    <x v="209"/>
    <x v="2"/>
    <n v="903.17469216446898"/>
    <n v="9"/>
    <n v="98.927926064510899"/>
    <x v="2"/>
  </r>
  <r>
    <x v="209"/>
    <x v="3"/>
    <n v="427.65773263678199"/>
    <n v="12"/>
    <n v="109.94051599639801"/>
    <x v="2"/>
  </r>
  <r>
    <x v="209"/>
    <x v="5"/>
    <n v="741.88449676614903"/>
    <n v="8"/>
    <n v="294.40167596857401"/>
    <x v="0"/>
  </r>
  <r>
    <x v="210"/>
    <x v="0"/>
    <n v="1145.81088682529"/>
    <n v="10"/>
    <n v="397.67162081883799"/>
    <x v="0"/>
  </r>
  <r>
    <x v="210"/>
    <x v="1"/>
    <n v="535.80880331849005"/>
    <n v="6"/>
    <n v="197.58766964289001"/>
    <x v="3"/>
  </r>
  <r>
    <x v="210"/>
    <x v="2"/>
    <n v="1346.0690285979499"/>
    <n v="17"/>
    <n v="359.66045428200499"/>
    <x v="0"/>
  </r>
  <r>
    <x v="210"/>
    <x v="3"/>
    <n v="844.41760629091095"/>
    <n v="17"/>
    <n v="295.86474895585599"/>
    <x v="3"/>
  </r>
  <r>
    <x v="210"/>
    <x v="5"/>
    <n v="1370.14516962678"/>
    <n v="14"/>
    <n v="212.10082242973499"/>
    <x v="3"/>
  </r>
  <r>
    <x v="211"/>
    <x v="0"/>
    <n v="980.59974100288196"/>
    <n v="15"/>
    <n v="340.35350391557802"/>
    <x v="1"/>
  </r>
  <r>
    <x v="211"/>
    <x v="1"/>
    <n v="785.64564027827805"/>
    <n v="3"/>
    <n v="82.513919299312505"/>
    <x v="0"/>
  </r>
  <r>
    <x v="211"/>
    <x v="2"/>
    <n v="1269.0923315861401"/>
    <n v="17"/>
    <n v="287.10467753564598"/>
    <x v="2"/>
  </r>
  <r>
    <x v="211"/>
    <x v="3"/>
    <n v="991.95044689999997"/>
    <n v="6"/>
    <n v="147.17136646433599"/>
    <x v="3"/>
  </r>
  <r>
    <x v="211"/>
    <x v="5"/>
    <n v="845.84841494716795"/>
    <n v="18"/>
    <n v="331.01877819630698"/>
    <x v="0"/>
  </r>
  <r>
    <x v="212"/>
    <x v="0"/>
    <n v="783.87554295884797"/>
    <n v="15"/>
    <n v="222.49425478711501"/>
    <x v="1"/>
  </r>
  <r>
    <x v="212"/>
    <x v="1"/>
    <n v="771.31524760080504"/>
    <n v="15"/>
    <n v="230.26330143349799"/>
    <x v="0"/>
  </r>
  <r>
    <x v="212"/>
    <x v="2"/>
    <n v="632.80537997704801"/>
    <n v="3"/>
    <n v="139.826149196583"/>
    <x v="3"/>
  </r>
  <r>
    <x v="212"/>
    <x v="3"/>
    <n v="1202.70908481831"/>
    <n v="12"/>
    <n v="414.21457403266197"/>
    <x v="0"/>
  </r>
  <r>
    <x v="212"/>
    <x v="5"/>
    <n v="1273.7450168642199"/>
    <n v="18"/>
    <n v="167.83156725778301"/>
    <x v="3"/>
  </r>
  <r>
    <x v="213"/>
    <x v="0"/>
    <n v="957.61208103817103"/>
    <n v="4"/>
    <n v="214.458906313136"/>
    <x v="2"/>
  </r>
  <r>
    <x v="213"/>
    <x v="1"/>
    <n v="471.58996675800802"/>
    <n v="15"/>
    <n v="103.079094903292"/>
    <x v="3"/>
  </r>
  <r>
    <x v="213"/>
    <x v="2"/>
    <n v="1089.9722315101701"/>
    <n v="8"/>
    <n v="160.27367145400899"/>
    <x v="3"/>
  </r>
  <r>
    <x v="213"/>
    <x v="3"/>
    <n v="1029.72072277702"/>
    <n v="2"/>
    <n v="275.05092026139801"/>
    <x v="2"/>
  </r>
  <r>
    <x v="213"/>
    <x v="5"/>
    <n v="544.80813529645195"/>
    <n v="8"/>
    <n v="136.59875556259499"/>
    <x v="1"/>
  </r>
  <r>
    <x v="214"/>
    <x v="0"/>
    <n v="736.92086476490294"/>
    <n v="2"/>
    <n v="269.60583783342503"/>
    <x v="3"/>
  </r>
  <r>
    <x v="214"/>
    <x v="1"/>
    <n v="665.56482858504501"/>
    <n v="12"/>
    <n v="249.53766764849399"/>
    <x v="2"/>
  </r>
  <r>
    <x v="214"/>
    <x v="2"/>
    <n v="655.11124031475504"/>
    <n v="10"/>
    <n v="127.384905896379"/>
    <x v="2"/>
  </r>
  <r>
    <x v="214"/>
    <x v="3"/>
    <n v="704.82013506698195"/>
    <n v="5"/>
    <n v="235.61373026358899"/>
    <x v="1"/>
  </r>
  <r>
    <x v="214"/>
    <x v="5"/>
    <n v="1232.54664821043"/>
    <n v="13"/>
    <n v="366.57970422993901"/>
    <x v="2"/>
  </r>
  <r>
    <x v="215"/>
    <x v="0"/>
    <n v="1165.9120257556999"/>
    <n v="6"/>
    <n v="446.48886311974201"/>
    <x v="0"/>
  </r>
  <r>
    <x v="215"/>
    <x v="1"/>
    <n v="409.879088923854"/>
    <n v="6"/>
    <n v="71.872618056908493"/>
    <x v="2"/>
  </r>
  <r>
    <x v="215"/>
    <x v="2"/>
    <n v="664.84406148789901"/>
    <n v="15"/>
    <n v="163.02386713004501"/>
    <x v="3"/>
  </r>
  <r>
    <x v="215"/>
    <x v="3"/>
    <n v="1149.8233207583801"/>
    <n v="6"/>
    <n v="227.16295737087299"/>
    <x v="1"/>
  </r>
  <r>
    <x v="215"/>
    <x v="5"/>
    <n v="915.82699661655704"/>
    <n v="3"/>
    <n v="319.20823948097598"/>
    <x v="1"/>
  </r>
  <r>
    <x v="216"/>
    <x v="0"/>
    <n v="1452.2900676741001"/>
    <n v="5"/>
    <n v="518.69628569999998"/>
    <x v="3"/>
  </r>
  <r>
    <x v="216"/>
    <x v="1"/>
    <n v="792.354336376932"/>
    <n v="6"/>
    <n v="183.96253726172401"/>
    <x v="0"/>
  </r>
  <r>
    <x v="216"/>
    <x v="2"/>
    <n v="1404.0009171264501"/>
    <n v="11"/>
    <n v="331.79482540314899"/>
    <x v="2"/>
  </r>
  <r>
    <x v="216"/>
    <x v="3"/>
    <n v="857.69636742895796"/>
    <n v="3"/>
    <n v="342.46687795566697"/>
    <x v="3"/>
  </r>
  <r>
    <x v="216"/>
    <x v="5"/>
    <n v="1384.7090422346801"/>
    <n v="17"/>
    <n v="264.96097324059099"/>
    <x v="0"/>
  </r>
  <r>
    <x v="217"/>
    <x v="0"/>
    <n v="1326.32195297012"/>
    <n v="10"/>
    <n v="380.42364829816898"/>
    <x v="1"/>
  </r>
  <r>
    <x v="217"/>
    <x v="1"/>
    <n v="968.58602241239805"/>
    <n v="2"/>
    <n v="146.52858527312799"/>
    <x v="3"/>
  </r>
  <r>
    <x v="217"/>
    <x v="2"/>
    <n v="188.95596107152801"/>
    <n v="15"/>
    <n v="61.8235359960998"/>
    <x v="2"/>
  </r>
  <r>
    <x v="217"/>
    <x v="3"/>
    <n v="1282.85385151981"/>
    <n v="9"/>
    <n v="148.448497753976"/>
    <x v="1"/>
  </r>
  <r>
    <x v="217"/>
    <x v="5"/>
    <n v="1333.1046939742801"/>
    <n v="16"/>
    <n v="198.506933147674"/>
    <x v="1"/>
  </r>
  <r>
    <x v="218"/>
    <x v="0"/>
    <n v="1190.87121261367"/>
    <n v="13"/>
    <n v="227.909774297105"/>
    <x v="0"/>
  </r>
  <r>
    <x v="218"/>
    <x v="1"/>
    <n v="846.79141907375094"/>
    <n v="2"/>
    <n v="320.03562016490702"/>
    <x v="2"/>
  </r>
  <r>
    <x v="218"/>
    <x v="2"/>
    <n v="952.52083557880201"/>
    <n v="3"/>
    <n v="103.439693835168"/>
    <x v="2"/>
  </r>
  <r>
    <x v="218"/>
    <x v="3"/>
    <n v="992.25364448549203"/>
    <n v="16"/>
    <n v="102.589859385265"/>
    <x v="3"/>
  </r>
  <r>
    <x v="218"/>
    <x v="5"/>
    <n v="670.28115382850501"/>
    <n v="10"/>
    <n v="185.33653704429599"/>
    <x v="0"/>
  </r>
  <r>
    <x v="219"/>
    <x v="0"/>
    <n v="756.37452041692995"/>
    <n v="4"/>
    <n v="296.60479823213899"/>
    <x v="2"/>
  </r>
  <r>
    <x v="219"/>
    <x v="1"/>
    <n v="1017.33230920405"/>
    <n v="15"/>
    <n v="184.59250668356799"/>
    <x v="1"/>
  </r>
  <r>
    <x v="219"/>
    <x v="2"/>
    <n v="785.29899588470801"/>
    <n v="15"/>
    <n v="199.430547702235"/>
    <x v="1"/>
  </r>
  <r>
    <x v="219"/>
    <x v="3"/>
    <n v="970.27170992761899"/>
    <n v="11"/>
    <n v="331.536644187072"/>
    <x v="0"/>
  </r>
  <r>
    <x v="219"/>
    <x v="5"/>
    <n v="819.15380326481102"/>
    <n v="17"/>
    <n v="137.47343958354401"/>
    <x v="0"/>
  </r>
  <r>
    <x v="220"/>
    <x v="0"/>
    <n v="567.44667220008603"/>
    <n v="16"/>
    <n v="113.262065392406"/>
    <x v="1"/>
  </r>
  <r>
    <x v="220"/>
    <x v="1"/>
    <n v="1257.1992296681799"/>
    <n v="13"/>
    <n v="454.08799650403802"/>
    <x v="0"/>
  </r>
  <r>
    <x v="220"/>
    <x v="2"/>
    <n v="420.34985124218503"/>
    <n v="4"/>
    <n v="129.52730392289399"/>
    <x v="3"/>
  </r>
  <r>
    <x v="220"/>
    <x v="3"/>
    <n v="797.35564688802106"/>
    <n v="19"/>
    <n v="131.46413860000001"/>
    <x v="0"/>
  </r>
  <r>
    <x v="220"/>
    <x v="5"/>
    <n v="1182.53262084225"/>
    <n v="6"/>
    <n v="241.198373640737"/>
    <x v="2"/>
  </r>
  <r>
    <x v="221"/>
    <x v="0"/>
    <n v="1214.2956807620899"/>
    <n v="16"/>
    <n v="183.83038630196299"/>
    <x v="2"/>
  </r>
  <r>
    <x v="221"/>
    <x v="1"/>
    <n v="971.01289899553296"/>
    <n v="2"/>
    <n v="153.44975383926399"/>
    <x v="2"/>
  </r>
  <r>
    <x v="221"/>
    <x v="2"/>
    <n v="875.20992161579204"/>
    <n v="4"/>
    <n v="320.17439831343501"/>
    <x v="3"/>
  </r>
  <r>
    <x v="221"/>
    <x v="3"/>
    <n v="778.95948840358596"/>
    <n v="19"/>
    <n v="174.01268833808101"/>
    <x v="2"/>
  </r>
  <r>
    <x v="221"/>
    <x v="5"/>
    <n v="889.98053558829395"/>
    <n v="15"/>
    <n v="300.06241369636399"/>
    <x v="3"/>
  </r>
  <r>
    <x v="222"/>
    <x v="0"/>
    <n v="1293.5266336084101"/>
    <n v="18"/>
    <n v="146.929611722836"/>
    <x v="1"/>
  </r>
  <r>
    <x v="222"/>
    <x v="1"/>
    <n v="1156.6427637801801"/>
    <n v="11"/>
    <n v="240.74634474778401"/>
    <x v="2"/>
  </r>
  <r>
    <x v="222"/>
    <x v="2"/>
    <n v="983.50565700973004"/>
    <n v="7"/>
    <n v="132.954272345975"/>
    <x v="2"/>
  </r>
  <r>
    <x v="222"/>
    <x v="3"/>
    <n v="860.25337632411697"/>
    <n v="3"/>
    <n v="235.14347738512399"/>
    <x v="0"/>
  </r>
  <r>
    <x v="222"/>
    <x v="5"/>
    <n v="889.95170022787602"/>
    <n v="10"/>
    <n v="203.127859015393"/>
    <x v="3"/>
  </r>
  <r>
    <x v="223"/>
    <x v="0"/>
    <n v="1449.3329623725999"/>
    <n v="17"/>
    <n v="362.64235106781803"/>
    <x v="3"/>
  </r>
  <r>
    <x v="223"/>
    <x v="1"/>
    <n v="1278.4135213017"/>
    <n v="4"/>
    <n v="359.18005826968499"/>
    <x v="1"/>
  </r>
  <r>
    <x v="223"/>
    <x v="2"/>
    <n v="1162.8485053812001"/>
    <n v="18"/>
    <n v="204.748823969412"/>
    <x v="0"/>
  </r>
  <r>
    <x v="223"/>
    <x v="3"/>
    <n v="714.30508577835997"/>
    <n v="10"/>
    <n v="241.03443831749601"/>
    <x v="2"/>
  </r>
  <r>
    <x v="223"/>
    <x v="5"/>
    <n v="796.90145846244002"/>
    <n v="4"/>
    <n v="104.276769350949"/>
    <x v="2"/>
  </r>
  <r>
    <x v="224"/>
    <x v="0"/>
    <n v="843.88536393928098"/>
    <n v="11"/>
    <n v="298.79125647475399"/>
    <x v="3"/>
  </r>
  <r>
    <x v="224"/>
    <x v="1"/>
    <n v="918.56327936437697"/>
    <n v="3"/>
    <n v="278.27426735534402"/>
    <x v="0"/>
  </r>
  <r>
    <x v="224"/>
    <x v="2"/>
    <n v="698.11919370235398"/>
    <n v="10"/>
    <n v="214.81566836089701"/>
    <x v="3"/>
  </r>
  <r>
    <x v="224"/>
    <x v="3"/>
    <n v="896.80717856986098"/>
    <n v="1"/>
    <n v="257.92089347442499"/>
    <x v="0"/>
  </r>
  <r>
    <x v="224"/>
    <x v="5"/>
    <n v="624.34766579999996"/>
    <n v="16"/>
    <n v="102.205832938383"/>
    <x v="0"/>
  </r>
  <r>
    <x v="225"/>
    <x v="0"/>
    <n v="1229.74284739786"/>
    <n v="18"/>
    <n v="139.574640460757"/>
    <x v="0"/>
  </r>
  <r>
    <x v="225"/>
    <x v="1"/>
    <n v="521.70145201556204"/>
    <n v="9"/>
    <n v="125.000231435366"/>
    <x v="0"/>
  </r>
  <r>
    <x v="225"/>
    <x v="2"/>
    <n v="1508.0699408584801"/>
    <n v="10"/>
    <n v="187.723967141396"/>
    <x v="2"/>
  </r>
  <r>
    <x v="225"/>
    <x v="3"/>
    <n v="981.36720102394395"/>
    <n v="2"/>
    <n v="223.67272868307899"/>
    <x v="3"/>
  </r>
  <r>
    <x v="225"/>
    <x v="5"/>
    <n v="1368.65178852176"/>
    <n v="4"/>
    <n v="208.574533853368"/>
    <x v="1"/>
  </r>
  <r>
    <x v="226"/>
    <x v="0"/>
    <n v="1350.06636270695"/>
    <n v="2"/>
    <n v="155.426433317662"/>
    <x v="3"/>
  </r>
  <r>
    <x v="226"/>
    <x v="1"/>
    <n v="1152.86088863077"/>
    <n v="5"/>
    <n v="314.80522117648701"/>
    <x v="0"/>
  </r>
  <r>
    <x v="226"/>
    <x v="2"/>
    <n v="982.87286625595902"/>
    <n v="14"/>
    <n v="124.78854228839"/>
    <x v="2"/>
  </r>
  <r>
    <x v="226"/>
    <x v="3"/>
    <n v="940.68479731671096"/>
    <n v="14"/>
    <n v="319.89106352635298"/>
    <x v="2"/>
  </r>
  <r>
    <x v="226"/>
    <x v="5"/>
    <n v="679.70954481970603"/>
    <n v="4"/>
    <n v="270.14109047445999"/>
    <x v="2"/>
  </r>
  <r>
    <x v="227"/>
    <x v="0"/>
    <n v="916.12950869999997"/>
    <n v="14"/>
    <n v="307.29814979261499"/>
    <x v="0"/>
  </r>
  <r>
    <x v="227"/>
    <x v="1"/>
    <n v="1033.3830304159801"/>
    <n v="1"/>
    <n v="362.9853484569"/>
    <x v="3"/>
  </r>
  <r>
    <x v="227"/>
    <x v="2"/>
    <n v="1045.73043006225"/>
    <n v="18"/>
    <n v="286.90516512560401"/>
    <x v="1"/>
  </r>
  <r>
    <x v="227"/>
    <x v="3"/>
    <n v="1195.7939221531201"/>
    <n v="8"/>
    <n v="165.417038178761"/>
    <x v="1"/>
  </r>
  <r>
    <x v="227"/>
    <x v="5"/>
    <n v="658.69376303477895"/>
    <n v="14"/>
    <n v="209.88184403445601"/>
    <x v="3"/>
  </r>
  <r>
    <x v="228"/>
    <x v="0"/>
    <n v="974.98191366133403"/>
    <n v="5"/>
    <n v="127.752108739495"/>
    <x v="3"/>
  </r>
  <r>
    <x v="228"/>
    <x v="1"/>
    <n v="43.656557187956899"/>
    <n v="8"/>
    <n v="8.1408771577335006"/>
    <x v="2"/>
  </r>
  <r>
    <x v="228"/>
    <x v="2"/>
    <n v="725.11776983088203"/>
    <n v="19"/>
    <n v="104.754311653324"/>
    <x v="2"/>
  </r>
  <r>
    <x v="228"/>
    <x v="3"/>
    <n v="1406.63284033164"/>
    <n v="8"/>
    <n v="518.09285971608699"/>
    <x v="3"/>
  </r>
  <r>
    <x v="228"/>
    <x v="5"/>
    <n v="1182.52232613976"/>
    <n v="6"/>
    <n v="406.40624141180098"/>
    <x v="1"/>
  </r>
  <r>
    <x v="229"/>
    <x v="0"/>
    <n v="1829.79388433178"/>
    <n v="2"/>
    <n v="516.25911559999997"/>
    <x v="3"/>
  </r>
  <r>
    <x v="229"/>
    <x v="1"/>
    <n v="837.92409899926895"/>
    <n v="1"/>
    <n v="162.955736082047"/>
    <x v="1"/>
  </r>
  <r>
    <x v="229"/>
    <x v="2"/>
    <n v="596.25046463727301"/>
    <n v="11"/>
    <n v="208.04183979999999"/>
    <x v="2"/>
  </r>
  <r>
    <x v="229"/>
    <x v="3"/>
    <n v="1425.5594035444101"/>
    <n v="16"/>
    <n v="568.32872274570195"/>
    <x v="2"/>
  </r>
  <r>
    <x v="229"/>
    <x v="5"/>
    <n v="253.65740303947601"/>
    <n v="3"/>
    <n v="87.192740149035004"/>
    <x v="2"/>
  </r>
  <r>
    <x v="230"/>
    <x v="0"/>
    <n v="403.797946941926"/>
    <n v="2"/>
    <n v="121.846910285539"/>
    <x v="2"/>
  </r>
  <r>
    <x v="230"/>
    <x v="1"/>
    <n v="922.76194452657205"/>
    <n v="8"/>
    <n v="179.54348056523199"/>
    <x v="1"/>
  </r>
  <r>
    <x v="230"/>
    <x v="2"/>
    <n v="1404.44435458209"/>
    <n v="5"/>
    <n v="384.18259666342402"/>
    <x v="3"/>
  </r>
  <r>
    <x v="230"/>
    <x v="3"/>
    <n v="770.51642770000001"/>
    <n v="13"/>
    <n v="136.39916726000399"/>
    <x v="1"/>
  </r>
  <r>
    <x v="230"/>
    <x v="5"/>
    <n v="999.96425543227099"/>
    <n v="6"/>
    <n v="127.74556500846499"/>
    <x v="1"/>
  </r>
  <r>
    <x v="231"/>
    <x v="0"/>
    <n v="1325.0021313733901"/>
    <n v="13"/>
    <n v="400.297082993331"/>
    <x v="0"/>
  </r>
  <r>
    <x v="231"/>
    <x v="1"/>
    <n v="862.13531765147297"/>
    <n v="13"/>
    <n v="306.04751898341101"/>
    <x v="1"/>
  </r>
  <r>
    <x v="231"/>
    <x v="2"/>
    <n v="478.56650813638402"/>
    <n v="8"/>
    <n v="65.881828178329599"/>
    <x v="2"/>
  </r>
  <r>
    <x v="231"/>
    <x v="3"/>
    <n v="458.023608259333"/>
    <n v="11"/>
    <n v="83.980254082715604"/>
    <x v="0"/>
  </r>
  <r>
    <x v="231"/>
    <x v="5"/>
    <n v="1058.6527450472299"/>
    <n v="19"/>
    <n v="370.23749537724899"/>
    <x v="1"/>
  </r>
  <r>
    <x v="232"/>
    <x v="0"/>
    <n v="1354.14726339188"/>
    <n v="14"/>
    <n v="154.95194749958401"/>
    <x v="2"/>
  </r>
  <r>
    <x v="232"/>
    <x v="1"/>
    <n v="1683.5205959587599"/>
    <n v="11"/>
    <n v="189.351770173961"/>
    <x v="1"/>
  </r>
  <r>
    <x v="232"/>
    <x v="2"/>
    <n v="797.822695981121"/>
    <n v="6"/>
    <n v="236.06368657675699"/>
    <x v="3"/>
  </r>
  <r>
    <x v="232"/>
    <x v="3"/>
    <n v="542.41673964517997"/>
    <n v="1"/>
    <n v="213.22917492102701"/>
    <x v="3"/>
  </r>
  <r>
    <x v="232"/>
    <x v="5"/>
    <n v="1476.9516934542"/>
    <n v="7"/>
    <n v="431.69770599678901"/>
    <x v="0"/>
  </r>
  <r>
    <x v="233"/>
    <x v="0"/>
    <n v="1172.2213662682"/>
    <n v="4"/>
    <n v="184.016295841415"/>
    <x v="2"/>
  </r>
  <r>
    <x v="233"/>
    <x v="1"/>
    <n v="790.204537651701"/>
    <n v="19"/>
    <n v="295.06376276715798"/>
    <x v="2"/>
  </r>
  <r>
    <x v="233"/>
    <x v="2"/>
    <n v="1348.7374859776901"/>
    <n v="16"/>
    <n v="157.88917062902499"/>
    <x v="0"/>
  </r>
  <r>
    <x v="233"/>
    <x v="3"/>
    <n v="845.51222220379202"/>
    <n v="4"/>
    <n v="184.98215141262199"/>
    <x v="0"/>
  </r>
  <r>
    <x v="233"/>
    <x v="5"/>
    <n v="1261.3227186536701"/>
    <n v="7"/>
    <n v="297.99392354071199"/>
    <x v="1"/>
  </r>
  <r>
    <x v="234"/>
    <x v="0"/>
    <n v="1245.43818587445"/>
    <n v="13"/>
    <n v="169.54673357306299"/>
    <x v="3"/>
  </r>
  <r>
    <x v="234"/>
    <x v="1"/>
    <n v="367.94488260000003"/>
    <n v="11"/>
    <n v="143.79158838388599"/>
    <x v="2"/>
  </r>
  <r>
    <x v="234"/>
    <x v="2"/>
    <n v="957.63323930372405"/>
    <n v="1"/>
    <n v="241.11241462807101"/>
    <x v="2"/>
  </r>
  <r>
    <x v="234"/>
    <x v="3"/>
    <n v="1402.08477110019"/>
    <n v="3"/>
    <n v="417.02300643929999"/>
    <x v="0"/>
  </r>
  <r>
    <x v="234"/>
    <x v="5"/>
    <n v="1092.42569822774"/>
    <n v="6"/>
    <n v="236.16312561473001"/>
    <x v="1"/>
  </r>
  <r>
    <x v="235"/>
    <x v="0"/>
    <n v="990.88435314700405"/>
    <n v="6"/>
    <n v="234.458042405127"/>
    <x v="0"/>
  </r>
  <r>
    <x v="235"/>
    <x v="1"/>
    <n v="1051.75803487692"/>
    <n v="18"/>
    <n v="167.53639496675299"/>
    <x v="2"/>
  </r>
  <r>
    <x v="235"/>
    <x v="2"/>
    <n v="1153.2588967444899"/>
    <n v="10"/>
    <n v="206.134850901899"/>
    <x v="3"/>
  </r>
  <r>
    <x v="235"/>
    <x v="3"/>
    <n v="460.97859610658401"/>
    <n v="1"/>
    <n v="63.636807571022899"/>
    <x v="0"/>
  </r>
  <r>
    <x v="235"/>
    <x v="5"/>
    <n v="1447.1138410578901"/>
    <n v="2"/>
    <n v="161.24594793137899"/>
    <x v="3"/>
  </r>
  <r>
    <x v="236"/>
    <x v="0"/>
    <n v="1649.5168203419801"/>
    <n v="9"/>
    <n v="213.74153438602099"/>
    <x v="3"/>
  </r>
  <r>
    <x v="236"/>
    <x v="1"/>
    <n v="1357.1645783030699"/>
    <n v="19"/>
    <n v="256.01603822875597"/>
    <x v="3"/>
  </r>
  <r>
    <x v="236"/>
    <x v="2"/>
    <n v="1037.1752279027901"/>
    <n v="14"/>
    <n v="149.88022278227601"/>
    <x v="3"/>
  </r>
  <r>
    <x v="236"/>
    <x v="3"/>
    <n v="762.48719482972103"/>
    <n v="16"/>
    <n v="203.96966661494699"/>
    <x v="1"/>
  </r>
  <r>
    <x v="236"/>
    <x v="5"/>
    <n v="1591.76265303694"/>
    <n v="17"/>
    <n v="409.240625834936"/>
    <x v="2"/>
  </r>
  <r>
    <x v="237"/>
    <x v="0"/>
    <n v="584.20361728030002"/>
    <n v="16"/>
    <n v="161.232706241367"/>
    <x v="3"/>
  </r>
  <r>
    <x v="237"/>
    <x v="1"/>
    <n v="812.92717263939505"/>
    <n v="2"/>
    <n v="234.95866449968901"/>
    <x v="2"/>
  </r>
  <r>
    <x v="237"/>
    <x v="2"/>
    <n v="697.40130568496295"/>
    <n v="4"/>
    <n v="233.65793881133101"/>
    <x v="0"/>
  </r>
  <r>
    <x v="237"/>
    <x v="3"/>
    <n v="1178.7363404798"/>
    <n v="13"/>
    <n v="257.24837847869998"/>
    <x v="3"/>
  </r>
  <r>
    <x v="237"/>
    <x v="5"/>
    <n v="694.77849361308699"/>
    <n v="8"/>
    <n v="236.575751034327"/>
    <x v="1"/>
  </r>
  <r>
    <x v="238"/>
    <x v="0"/>
    <n v="1790.06138200948"/>
    <n v="5"/>
    <n v="184.64141672933201"/>
    <x v="2"/>
  </r>
  <r>
    <x v="238"/>
    <x v="1"/>
    <n v="1159.5234649376901"/>
    <n v="1"/>
    <n v="167.832032670964"/>
    <x v="3"/>
  </r>
  <r>
    <x v="238"/>
    <x v="2"/>
    <n v="823.02721064027298"/>
    <n v="15"/>
    <n v="233.009907286859"/>
    <x v="1"/>
  </r>
  <r>
    <x v="238"/>
    <x v="3"/>
    <n v="1253.28496842922"/>
    <n v="12"/>
    <n v="145.84429864199501"/>
    <x v="1"/>
  </r>
  <r>
    <x v="238"/>
    <x v="5"/>
    <n v="946.77386850000005"/>
    <n v="6"/>
    <n v="156.122853084442"/>
    <x v="0"/>
  </r>
  <r>
    <x v="239"/>
    <x v="0"/>
    <n v="593.34115012711902"/>
    <n v="12"/>
    <n v="67.942790991796699"/>
    <x v="2"/>
  </r>
  <r>
    <x v="239"/>
    <x v="1"/>
    <n v="587.80013577300804"/>
    <n v="4"/>
    <n v="121.046191395248"/>
    <x v="0"/>
  </r>
  <r>
    <x v="239"/>
    <x v="2"/>
    <n v="919.29916723506699"/>
    <n v="2"/>
    <n v="319.71358175627603"/>
    <x v="2"/>
  </r>
  <r>
    <x v="239"/>
    <x v="3"/>
    <n v="269.74708424722201"/>
    <n v="16"/>
    <n v="97.078666038207203"/>
    <x v="1"/>
  </r>
  <r>
    <x v="239"/>
    <x v="5"/>
    <n v="546.93092637492998"/>
    <n v="19"/>
    <n v="157.349422392093"/>
    <x v="0"/>
  </r>
  <r>
    <x v="240"/>
    <x v="0"/>
    <n v="1149.72693851599"/>
    <n v="10"/>
    <n v="302.26256803764699"/>
    <x v="2"/>
  </r>
  <r>
    <x v="240"/>
    <x v="1"/>
    <n v="1169.0379862549701"/>
    <n v="15"/>
    <n v="336.214141676758"/>
    <x v="1"/>
  </r>
  <r>
    <x v="240"/>
    <x v="2"/>
    <n v="883.69002507743096"/>
    <n v="15"/>
    <n v="246.905410074375"/>
    <x v="3"/>
  </r>
  <r>
    <x v="240"/>
    <x v="3"/>
    <n v="875.91530031110699"/>
    <n v="15"/>
    <n v="312.21276816449802"/>
    <x v="0"/>
  </r>
  <r>
    <x v="240"/>
    <x v="5"/>
    <n v="287.07014309864002"/>
    <n v="15"/>
    <n v="72.258145290414802"/>
    <x v="0"/>
  </r>
  <r>
    <x v="241"/>
    <x v="0"/>
    <n v="898.39259802343702"/>
    <n v="3"/>
    <n v="109.016980365717"/>
    <x v="1"/>
  </r>
  <r>
    <x v="241"/>
    <x v="1"/>
    <n v="1060.07187203844"/>
    <n v="9"/>
    <n v="283.42304471922603"/>
    <x v="0"/>
  </r>
  <r>
    <x v="241"/>
    <x v="2"/>
    <n v="1002.48378230003"/>
    <n v="7"/>
    <n v="129.723712590042"/>
    <x v="2"/>
  </r>
  <r>
    <x v="241"/>
    <x v="3"/>
    <n v="205.27013701988199"/>
    <n v="10"/>
    <n v="78.780885954615997"/>
    <x v="2"/>
  </r>
  <r>
    <x v="241"/>
    <x v="5"/>
    <n v="1405.45087103683"/>
    <n v="8"/>
    <n v="265.60736852610898"/>
    <x v="0"/>
  </r>
  <r>
    <x v="242"/>
    <x v="0"/>
    <n v="1193.5507376118401"/>
    <n v="14"/>
    <n v="207.384492659579"/>
    <x v="0"/>
  </r>
  <r>
    <x v="242"/>
    <x v="1"/>
    <n v="1223.4974258842201"/>
    <n v="11"/>
    <n v="375.88030314789398"/>
    <x v="0"/>
  </r>
  <r>
    <x v="242"/>
    <x v="2"/>
    <n v="1293.3446650000001"/>
    <n v="18"/>
    <n v="390.22399962666202"/>
    <x v="1"/>
  </r>
  <r>
    <x v="242"/>
    <x v="3"/>
    <n v="368.305917447902"/>
    <n v="19"/>
    <n v="73.419555195166495"/>
    <x v="3"/>
  </r>
  <r>
    <x v="242"/>
    <x v="5"/>
    <n v="207.730696196888"/>
    <n v="1"/>
    <n v="22.1577078415723"/>
    <x v="0"/>
  </r>
  <r>
    <x v="243"/>
    <x v="0"/>
    <n v="902.968639736618"/>
    <n v="2"/>
    <n v="101.51934350000001"/>
    <x v="2"/>
  </r>
  <r>
    <x v="243"/>
    <x v="1"/>
    <n v="1459.0585596589999"/>
    <n v="16"/>
    <n v="196.13552240883101"/>
    <x v="0"/>
  </r>
  <r>
    <x v="243"/>
    <x v="2"/>
    <n v="1199.4781486905199"/>
    <n v="13"/>
    <n v="180.94275116114201"/>
    <x v="3"/>
  </r>
  <r>
    <x v="243"/>
    <x v="3"/>
    <n v="1148.8597562089899"/>
    <n v="2"/>
    <n v="317.440411567274"/>
    <x v="0"/>
  </r>
  <r>
    <x v="243"/>
    <x v="5"/>
    <n v="839.40498622970199"/>
    <n v="18"/>
    <n v="167.541828467394"/>
    <x v="3"/>
  </r>
  <r>
    <x v="244"/>
    <x v="0"/>
    <n v="945.05485868401104"/>
    <n v="11"/>
    <n v="333.72392702620101"/>
    <x v="1"/>
  </r>
  <r>
    <x v="244"/>
    <x v="1"/>
    <n v="892.99805974603805"/>
    <n v="14"/>
    <n v="346.91612090000001"/>
    <x v="0"/>
  </r>
  <r>
    <x v="244"/>
    <x v="2"/>
    <n v="849.46474215653996"/>
    <n v="19"/>
    <n v="273.446836823436"/>
    <x v="2"/>
  </r>
  <r>
    <x v="244"/>
    <x v="3"/>
    <n v="588.26033563476904"/>
    <n v="19"/>
    <n v="117.803729025327"/>
    <x v="1"/>
  </r>
  <r>
    <x v="244"/>
    <x v="5"/>
    <n v="1281.4947147893499"/>
    <n v="1"/>
    <n v="448.24574757558298"/>
    <x v="1"/>
  </r>
  <r>
    <x v="245"/>
    <x v="0"/>
    <n v="723.62646656712798"/>
    <n v="17"/>
    <n v="280.15856361277503"/>
    <x v="1"/>
  </r>
  <r>
    <x v="245"/>
    <x v="1"/>
    <n v="924.94365003785094"/>
    <n v="16"/>
    <n v="280.00670004522601"/>
    <x v="2"/>
  </r>
  <r>
    <x v="245"/>
    <x v="2"/>
    <n v="679.01195302222504"/>
    <n v="16"/>
    <n v="196.80535626507199"/>
    <x v="1"/>
  </r>
  <r>
    <x v="245"/>
    <x v="3"/>
    <n v="699.68133598467"/>
    <n v="12"/>
    <n v="223.23475479235299"/>
    <x v="2"/>
  </r>
  <r>
    <x v="245"/>
    <x v="5"/>
    <n v="914.89459189655395"/>
    <n v="8"/>
    <n v="126.503438030449"/>
    <x v="0"/>
  </r>
  <r>
    <x v="246"/>
    <x v="0"/>
    <n v="825.46538998238304"/>
    <n v="11"/>
    <n v="256.07393870749502"/>
    <x v="3"/>
  </r>
  <r>
    <x v="246"/>
    <x v="1"/>
    <n v="647.83601067730797"/>
    <n v="13"/>
    <n v="180.18534381243899"/>
    <x v="1"/>
  </r>
  <r>
    <x v="246"/>
    <x v="2"/>
    <n v="1222.9936388628701"/>
    <n v="7"/>
    <n v="325.36710236472197"/>
    <x v="0"/>
  </r>
  <r>
    <x v="246"/>
    <x v="3"/>
    <n v="633.55148108003004"/>
    <n v="12"/>
    <n v="103.28926508455901"/>
    <x v="1"/>
  </r>
  <r>
    <x v="246"/>
    <x v="5"/>
    <n v="838.98306697509099"/>
    <n v="7"/>
    <n v="280.27386692586401"/>
    <x v="3"/>
  </r>
  <r>
    <x v="247"/>
    <x v="0"/>
    <n v="1214.8332094243201"/>
    <n v="6"/>
    <n v="241.95626594511501"/>
    <x v="0"/>
  </r>
  <r>
    <x v="247"/>
    <x v="1"/>
    <n v="1412.94893500586"/>
    <n v="8"/>
    <n v="399.91029510450699"/>
    <x v="0"/>
  </r>
  <r>
    <x v="247"/>
    <x v="2"/>
    <n v="1093.93964200394"/>
    <n v="17"/>
    <n v="153.10192626261099"/>
    <x v="0"/>
  </r>
  <r>
    <x v="247"/>
    <x v="3"/>
    <n v="721.48849905333395"/>
    <n v="18"/>
    <n v="162.085435213594"/>
    <x v="1"/>
  </r>
  <r>
    <x v="247"/>
    <x v="5"/>
    <n v="1170.32712312582"/>
    <n v="6"/>
    <n v="149.09106277203199"/>
    <x v="1"/>
  </r>
  <r>
    <x v="248"/>
    <x v="0"/>
    <n v="1192.16288052243"/>
    <n v="3"/>
    <n v="140.99779525022601"/>
    <x v="1"/>
  </r>
  <r>
    <x v="248"/>
    <x v="1"/>
    <n v="1036.9234604968501"/>
    <n v="18"/>
    <n v="325.93016874704699"/>
    <x v="3"/>
  </r>
  <r>
    <x v="248"/>
    <x v="2"/>
    <n v="1173.8256948696901"/>
    <n v="1"/>
    <n v="186.507158229743"/>
    <x v="0"/>
  </r>
  <r>
    <x v="248"/>
    <x v="3"/>
    <n v="246.749499579564"/>
    <n v="17"/>
    <n v="88.459563689392297"/>
    <x v="1"/>
  </r>
  <r>
    <x v="248"/>
    <x v="5"/>
    <n v="487.54447920502201"/>
    <n v="19"/>
    <n v="166.99298648597801"/>
    <x v="0"/>
  </r>
  <r>
    <x v="249"/>
    <x v="0"/>
    <n v="1245.45184010923"/>
    <n v="16"/>
    <n v="235.04698782346"/>
    <x v="0"/>
  </r>
  <r>
    <x v="249"/>
    <x v="1"/>
    <n v="618.98167338638996"/>
    <n v="2"/>
    <n v="95.540783961535496"/>
    <x v="3"/>
  </r>
  <r>
    <x v="249"/>
    <x v="2"/>
    <n v="1086.08675629051"/>
    <n v="18"/>
    <n v="208.446804067941"/>
    <x v="0"/>
  </r>
  <r>
    <x v="249"/>
    <x v="3"/>
    <n v="1480.58425195371"/>
    <n v="6"/>
    <n v="421.41311967371303"/>
    <x v="3"/>
  </r>
  <r>
    <x v="249"/>
    <x v="5"/>
    <n v="1504.1486891243901"/>
    <n v="11"/>
    <n v="190.02883741991101"/>
    <x v="2"/>
  </r>
  <r>
    <x v="250"/>
    <x v="0"/>
    <n v="1224.3106345394899"/>
    <n v="18"/>
    <n v="226.47949579249101"/>
    <x v="3"/>
  </r>
  <r>
    <x v="250"/>
    <x v="1"/>
    <n v="1284.6120752479101"/>
    <n v="9"/>
    <n v="361.55641789999999"/>
    <x v="3"/>
  </r>
  <r>
    <x v="250"/>
    <x v="2"/>
    <n v="1401.0761312694101"/>
    <n v="9"/>
    <n v="263.48699055022598"/>
    <x v="0"/>
  </r>
  <r>
    <x v="250"/>
    <x v="3"/>
    <n v="1354.76971811826"/>
    <n v="16"/>
    <n v="270.72940502297598"/>
    <x v="0"/>
  </r>
  <r>
    <x v="250"/>
    <x v="5"/>
    <n v="967.79356278579496"/>
    <n v="15"/>
    <n v="289.28139419311702"/>
    <x v="2"/>
  </r>
  <r>
    <x v="251"/>
    <x v="0"/>
    <n v="1299.82570980337"/>
    <n v="13"/>
    <n v="137.37028769691099"/>
    <x v="0"/>
  </r>
  <r>
    <x v="251"/>
    <x v="1"/>
    <n v="707.98634859188905"/>
    <n v="8"/>
    <n v="206.41103786923199"/>
    <x v="1"/>
  </r>
  <r>
    <x v="251"/>
    <x v="2"/>
    <n v="1302.1400009419399"/>
    <n v="14"/>
    <n v="152.52636304369099"/>
    <x v="2"/>
  </r>
  <r>
    <x v="251"/>
    <x v="3"/>
    <n v="752.81935390839999"/>
    <n v="10"/>
    <n v="269.30872288889799"/>
    <x v="3"/>
  </r>
  <r>
    <x v="251"/>
    <x v="5"/>
    <n v="784.267164565244"/>
    <n v="13"/>
    <n v="237.215690079615"/>
    <x v="2"/>
  </r>
  <r>
    <x v="252"/>
    <x v="0"/>
    <n v="1603.6102392881801"/>
    <n v="7"/>
    <n v="630.16800081592498"/>
    <x v="1"/>
  </r>
  <r>
    <x v="252"/>
    <x v="1"/>
    <n v="1040.85186491944"/>
    <n v="14"/>
    <n v="220.85225818309101"/>
    <x v="0"/>
  </r>
  <r>
    <x v="252"/>
    <x v="2"/>
    <n v="1228.0355128768999"/>
    <n v="18"/>
    <n v="243.847874119159"/>
    <x v="1"/>
  </r>
  <r>
    <x v="252"/>
    <x v="3"/>
    <n v="1316.3236336658199"/>
    <n v="17"/>
    <n v="203.6845127"/>
    <x v="0"/>
  </r>
  <r>
    <x v="252"/>
    <x v="5"/>
    <n v="1159.32898068538"/>
    <n v="10"/>
    <n v="368.47344591659697"/>
    <x v="1"/>
  </r>
  <r>
    <x v="253"/>
    <x v="0"/>
    <n v="1486.7495022702999"/>
    <n v="3"/>
    <n v="339.33564462374198"/>
    <x v="2"/>
  </r>
  <r>
    <x v="253"/>
    <x v="1"/>
    <n v="1310.4591570320299"/>
    <n v="19"/>
    <n v="336.81703726161101"/>
    <x v="2"/>
  </r>
  <r>
    <x v="253"/>
    <x v="2"/>
    <n v="573.94131481547402"/>
    <n v="16"/>
    <n v="197.21959901990601"/>
    <x v="0"/>
  </r>
  <r>
    <x v="253"/>
    <x v="3"/>
    <n v="1402.4295926121099"/>
    <n v="3"/>
    <n v="496.23184882315797"/>
    <x v="0"/>
  </r>
  <r>
    <x v="253"/>
    <x v="5"/>
    <n v="792.17354269058706"/>
    <n v="19"/>
    <n v="306.48209255646401"/>
    <x v="1"/>
  </r>
  <r>
    <x v="254"/>
    <x v="0"/>
    <n v="919.86209921779198"/>
    <n v="19"/>
    <n v="160.572918347034"/>
    <x v="3"/>
  </r>
  <r>
    <x v="254"/>
    <x v="1"/>
    <n v="1138.9405822722999"/>
    <n v="16"/>
    <n v="390.25559537766497"/>
    <x v="2"/>
  </r>
  <r>
    <x v="254"/>
    <x v="2"/>
    <n v="1234.0378017621399"/>
    <n v="7"/>
    <n v="440.76039464250999"/>
    <x v="2"/>
  </r>
  <r>
    <x v="254"/>
    <x v="3"/>
    <n v="1025.2175307510799"/>
    <n v="4"/>
    <n v="147.64007384427501"/>
    <x v="3"/>
  </r>
  <r>
    <x v="254"/>
    <x v="5"/>
    <n v="881.70181022944701"/>
    <n v="14"/>
    <n v="258.97126291287799"/>
    <x v="2"/>
  </r>
  <r>
    <x v="255"/>
    <x v="0"/>
    <n v="954.44399148205196"/>
    <n v="19"/>
    <n v="183.07586282335299"/>
    <x v="3"/>
  </r>
  <r>
    <x v="255"/>
    <x v="1"/>
    <n v="1112.00456791341"/>
    <n v="14"/>
    <n v="259.78968340987097"/>
    <x v="3"/>
  </r>
  <r>
    <x v="255"/>
    <x v="2"/>
    <n v="1093.7134631399699"/>
    <n v="7"/>
    <n v="356.055731531996"/>
    <x v="3"/>
  </r>
  <r>
    <x v="255"/>
    <x v="3"/>
    <n v="882.2372325"/>
    <n v="7"/>
    <n v="123.07745002750001"/>
    <x v="0"/>
  </r>
  <r>
    <x v="255"/>
    <x v="5"/>
    <n v="1207.6358515265399"/>
    <n v="8"/>
    <n v="366.29645019890103"/>
    <x v="3"/>
  </r>
  <r>
    <x v="256"/>
    <x v="0"/>
    <n v="1442.2139800438299"/>
    <n v="13"/>
    <n v="167.42725184880601"/>
    <x v="1"/>
  </r>
  <r>
    <x v="256"/>
    <x v="1"/>
    <n v="1399.4764097463001"/>
    <n v="1"/>
    <n v="339.57275503726999"/>
    <x v="2"/>
  </r>
  <r>
    <x v="256"/>
    <x v="2"/>
    <n v="1161.74323538504"/>
    <n v="1"/>
    <n v="182.113403130346"/>
    <x v="3"/>
  </r>
  <r>
    <x v="256"/>
    <x v="3"/>
    <n v="1293.51098133093"/>
    <n v="5"/>
    <n v="327.69042936134599"/>
    <x v="1"/>
  </r>
  <r>
    <x v="256"/>
    <x v="5"/>
    <n v="1435.9846918757401"/>
    <n v="16"/>
    <n v="500.97027738909202"/>
    <x v="3"/>
  </r>
  <r>
    <x v="257"/>
    <x v="0"/>
    <n v="966.08096079188999"/>
    <n v="15"/>
    <n v="127.155975262377"/>
    <x v="3"/>
  </r>
  <r>
    <x v="257"/>
    <x v="1"/>
    <n v="1555.56456758016"/>
    <n v="17"/>
    <n v="297.53681576125598"/>
    <x v="3"/>
  </r>
  <r>
    <x v="257"/>
    <x v="2"/>
    <n v="915.67970861758999"/>
    <n v="18"/>
    <n v="203.58619237946499"/>
    <x v="2"/>
  </r>
  <r>
    <x v="257"/>
    <x v="3"/>
    <n v="845.77508418584205"/>
    <n v="15"/>
    <n v="303.42092526585498"/>
    <x v="1"/>
  </r>
  <r>
    <x v="257"/>
    <x v="5"/>
    <n v="937.49825378033302"/>
    <n v="8"/>
    <n v="289.27093606460602"/>
    <x v="2"/>
  </r>
  <r>
    <x v="258"/>
    <x v="0"/>
    <n v="957.88748232839896"/>
    <n v="8"/>
    <n v="208.75868309273699"/>
    <x v="3"/>
  </r>
  <r>
    <x v="258"/>
    <x v="1"/>
    <n v="1092.28380045675"/>
    <n v="17"/>
    <n v="181.81629840083099"/>
    <x v="2"/>
  </r>
  <r>
    <x v="258"/>
    <x v="2"/>
    <n v="569.22714283944094"/>
    <n v="2"/>
    <n v="85.519503857723393"/>
    <x v="1"/>
  </r>
  <r>
    <x v="258"/>
    <x v="3"/>
    <n v="605.255255071747"/>
    <n v="6"/>
    <n v="71.988438299999999"/>
    <x v="1"/>
  </r>
  <r>
    <x v="258"/>
    <x v="5"/>
    <n v="945.56527922574401"/>
    <n v="14"/>
    <n v="341.11499794347799"/>
    <x v="2"/>
  </r>
  <r>
    <x v="259"/>
    <x v="0"/>
    <n v="968.09889924060496"/>
    <n v="3"/>
    <n v="356.76088385114201"/>
    <x v="2"/>
  </r>
  <r>
    <x v="259"/>
    <x v="1"/>
    <n v="701.37891909257496"/>
    <n v="17"/>
    <n v="128.395119888708"/>
    <x v="1"/>
  </r>
  <r>
    <x v="259"/>
    <x v="2"/>
    <n v="1548.1784514870999"/>
    <n v="2"/>
    <n v="587.14237765624296"/>
    <x v="1"/>
  </r>
  <r>
    <x v="259"/>
    <x v="3"/>
    <n v="1268.9765962708"/>
    <n v="7"/>
    <n v="448.83201812425602"/>
    <x v="0"/>
  </r>
  <r>
    <x v="259"/>
    <x v="5"/>
    <n v="498.32506762980398"/>
    <n v="16"/>
    <n v="106.1056103"/>
    <x v="0"/>
  </r>
  <r>
    <x v="260"/>
    <x v="0"/>
    <n v="888.82517127976496"/>
    <n v="2"/>
    <n v="88.943056312944904"/>
    <x v="3"/>
  </r>
  <r>
    <x v="260"/>
    <x v="1"/>
    <n v="595.58586641794898"/>
    <n v="2"/>
    <n v="89.542987045420304"/>
    <x v="2"/>
  </r>
  <r>
    <x v="260"/>
    <x v="2"/>
    <n v="1178.4335787473699"/>
    <n v="7"/>
    <n v="446.20490459948002"/>
    <x v="0"/>
  </r>
  <r>
    <x v="260"/>
    <x v="3"/>
    <n v="1110.44850851603"/>
    <n v="1"/>
    <n v="150.73472530808601"/>
    <x v="3"/>
  </r>
  <r>
    <x v="260"/>
    <x v="5"/>
    <n v="974.80543935814796"/>
    <n v="1"/>
    <n v="307.66364179999999"/>
    <x v="0"/>
  </r>
  <r>
    <x v="261"/>
    <x v="0"/>
    <n v="984.78723404035395"/>
    <n v="4"/>
    <n v="369.64211876929198"/>
    <x v="2"/>
  </r>
  <r>
    <x v="261"/>
    <x v="1"/>
    <n v="1375.85279032824"/>
    <n v="13"/>
    <n v="442.64957760982702"/>
    <x v="1"/>
  </r>
  <r>
    <x v="261"/>
    <x v="2"/>
    <n v="865.53261510995503"/>
    <n v="7"/>
    <n v="298.19470755132397"/>
    <x v="0"/>
  </r>
  <r>
    <x v="261"/>
    <x v="3"/>
    <n v="1083.2075385894"/>
    <n v="18"/>
    <n v="429.02469221331597"/>
    <x v="3"/>
  </r>
  <r>
    <x v="261"/>
    <x v="5"/>
    <n v="993.31630619999999"/>
    <n v="6"/>
    <n v="173.414616334046"/>
    <x v="0"/>
  </r>
  <r>
    <x v="262"/>
    <x v="0"/>
    <n v="927.93164011826502"/>
    <n v="18"/>
    <n v="119.898110446499"/>
    <x v="0"/>
  </r>
  <r>
    <x v="262"/>
    <x v="1"/>
    <n v="1274.8153969354901"/>
    <n v="14"/>
    <n v="455.91022760936499"/>
    <x v="1"/>
  </r>
  <r>
    <x v="262"/>
    <x v="2"/>
    <n v="573.65405795631295"/>
    <n v="19"/>
    <n v="60.510476167528502"/>
    <x v="3"/>
  </r>
  <r>
    <x v="262"/>
    <x v="3"/>
    <n v="844.85887586537103"/>
    <n v="6"/>
    <n v="335.88780490789799"/>
    <x v="2"/>
  </r>
  <r>
    <x v="262"/>
    <x v="5"/>
    <n v="765.39895224668805"/>
    <n v="15"/>
    <n v="119.00123580381801"/>
    <x v="2"/>
  </r>
  <r>
    <x v="263"/>
    <x v="0"/>
    <n v="772.089064755913"/>
    <n v="3"/>
    <n v="161.352592562458"/>
    <x v="0"/>
  </r>
  <r>
    <x v="263"/>
    <x v="1"/>
    <n v="377.32359727644001"/>
    <n v="2"/>
    <n v="132.81765274825901"/>
    <x v="2"/>
  </r>
  <r>
    <x v="263"/>
    <x v="2"/>
    <n v="974.17909216273199"/>
    <n v="16"/>
    <n v="304.59631745121499"/>
    <x v="2"/>
  </r>
  <r>
    <x v="263"/>
    <x v="3"/>
    <n v="687.22669159882696"/>
    <n v="15"/>
    <n v="230.18550090833099"/>
    <x v="2"/>
  </r>
  <r>
    <x v="263"/>
    <x v="5"/>
    <n v="648.32987400000002"/>
    <n v="3"/>
    <n v="188.32167369999999"/>
    <x v="1"/>
  </r>
  <r>
    <x v="264"/>
    <x v="0"/>
    <n v="972.29759110244402"/>
    <n v="16"/>
    <n v="146.46982770374001"/>
    <x v="0"/>
  </r>
  <r>
    <x v="264"/>
    <x v="1"/>
    <n v="612.763340154822"/>
    <n v="8"/>
    <n v="100.300591672208"/>
    <x v="3"/>
  </r>
  <r>
    <x v="264"/>
    <x v="2"/>
    <n v="950.699438234382"/>
    <n v="7"/>
    <n v="238.73252801387"/>
    <x v="2"/>
  </r>
  <r>
    <x v="264"/>
    <x v="3"/>
    <n v="1063.6280059222499"/>
    <n v="14"/>
    <n v="410.29986067813297"/>
    <x v="2"/>
  </r>
  <r>
    <x v="264"/>
    <x v="5"/>
    <n v="634.81519233385598"/>
    <n v="19"/>
    <n v="196.970844800636"/>
    <x v="2"/>
  </r>
  <r>
    <x v="265"/>
    <x v="0"/>
    <n v="1047.83875204123"/>
    <n v="17"/>
    <n v="263.01123525423901"/>
    <x v="2"/>
  </r>
  <r>
    <x v="265"/>
    <x v="1"/>
    <n v="696.81364876317798"/>
    <n v="1"/>
    <n v="102.244845101699"/>
    <x v="0"/>
  </r>
  <r>
    <x v="265"/>
    <x v="2"/>
    <n v="1528.2968755676"/>
    <n v="6"/>
    <n v="516.47044750449299"/>
    <x v="2"/>
  </r>
  <r>
    <x v="265"/>
    <x v="3"/>
    <n v="848.94875143381"/>
    <n v="13"/>
    <n v="328.28410175666198"/>
    <x v="3"/>
  </r>
  <r>
    <x v="265"/>
    <x v="5"/>
    <n v="971.61286220521299"/>
    <n v="1"/>
    <n v="109.724272285512"/>
    <x v="0"/>
  </r>
  <r>
    <x v="266"/>
    <x v="0"/>
    <n v="1010.11761752863"/>
    <n v="1"/>
    <n v="254.99663242036101"/>
    <x v="2"/>
  </r>
  <r>
    <x v="266"/>
    <x v="1"/>
    <n v="1564.9246760000001"/>
    <n v="16"/>
    <n v="520.44756545688404"/>
    <x v="2"/>
  </r>
  <r>
    <x v="266"/>
    <x v="2"/>
    <n v="1187.1849825536401"/>
    <n v="2"/>
    <n v="279.08907906888601"/>
    <x v="0"/>
  </r>
  <r>
    <x v="266"/>
    <x v="3"/>
    <n v="1390.1482456992401"/>
    <n v="7"/>
    <n v="509.128841674775"/>
    <x v="3"/>
  </r>
  <r>
    <x v="266"/>
    <x v="5"/>
    <n v="1141.3219842830299"/>
    <n v="9"/>
    <n v="228.762826510369"/>
    <x v="2"/>
  </r>
  <r>
    <x v="267"/>
    <x v="0"/>
    <n v="1065.50393001936"/>
    <n v="6"/>
    <n v="220.33271496811"/>
    <x v="1"/>
  </r>
  <r>
    <x v="267"/>
    <x v="1"/>
    <n v="1161.2080844347599"/>
    <n v="17"/>
    <n v="264.52233751024499"/>
    <x v="1"/>
  </r>
  <r>
    <x v="267"/>
    <x v="2"/>
    <n v="1277.3230561824901"/>
    <n v="15"/>
    <n v="242.652138625916"/>
    <x v="3"/>
  </r>
  <r>
    <x v="267"/>
    <x v="3"/>
    <n v="1041.46513933133"/>
    <n v="15"/>
    <n v="341.385249599573"/>
    <x v="3"/>
  </r>
  <r>
    <x v="267"/>
    <x v="5"/>
    <n v="1207.5163242123001"/>
    <n v="17"/>
    <n v="190.72479142268099"/>
    <x v="1"/>
  </r>
  <r>
    <x v="268"/>
    <x v="0"/>
    <n v="842.60127787995896"/>
    <n v="4"/>
    <n v="215.02177251813399"/>
    <x v="0"/>
  </r>
  <r>
    <x v="268"/>
    <x v="1"/>
    <n v="1148.0964542929401"/>
    <n v="15"/>
    <n v="183.47000032164101"/>
    <x v="3"/>
  </r>
  <r>
    <x v="268"/>
    <x v="2"/>
    <n v="890.34821890442004"/>
    <n v="5"/>
    <n v="185.297679390225"/>
    <x v="0"/>
  </r>
  <r>
    <x v="268"/>
    <x v="3"/>
    <n v="954.610233930243"/>
    <n v="6"/>
    <n v="153.35318897801201"/>
    <x v="3"/>
  </r>
  <r>
    <x v="268"/>
    <x v="5"/>
    <n v="864.41518842643598"/>
    <n v="17"/>
    <n v="146.50083323184299"/>
    <x v="0"/>
  </r>
  <r>
    <x v="269"/>
    <x v="0"/>
    <n v="763.19844828409703"/>
    <n v="2"/>
    <n v="167.27893631422199"/>
    <x v="3"/>
  </r>
  <r>
    <x v="269"/>
    <x v="1"/>
    <n v="888.44263531640001"/>
    <n v="17"/>
    <n v="118.559388088285"/>
    <x v="2"/>
  </r>
  <r>
    <x v="269"/>
    <x v="2"/>
    <n v="781.46151349589695"/>
    <n v="16"/>
    <n v="214.48716436813399"/>
    <x v="2"/>
  </r>
  <r>
    <x v="269"/>
    <x v="3"/>
    <n v="1095.8574012348799"/>
    <n v="10"/>
    <n v="285.32594313672303"/>
    <x v="2"/>
  </r>
  <r>
    <x v="269"/>
    <x v="5"/>
    <n v="1496.08518054768"/>
    <n v="10"/>
    <n v="224.216503595983"/>
    <x v="0"/>
  </r>
  <r>
    <x v="270"/>
    <x v="0"/>
    <n v="612.78474406347596"/>
    <n v="14"/>
    <n v="200.96097822537101"/>
    <x v="1"/>
  </r>
  <r>
    <x v="270"/>
    <x v="1"/>
    <n v="1128.80507062674"/>
    <n v="4"/>
    <n v="435.28838225849597"/>
    <x v="3"/>
  </r>
  <r>
    <x v="270"/>
    <x v="2"/>
    <n v="1501.4748852233099"/>
    <n v="12"/>
    <n v="172.49209618596299"/>
    <x v="1"/>
  </r>
  <r>
    <x v="270"/>
    <x v="3"/>
    <n v="1527.9091577002901"/>
    <n v="15"/>
    <n v="252.064912096169"/>
    <x v="1"/>
  </r>
  <r>
    <x v="270"/>
    <x v="5"/>
    <n v="1090.51000267052"/>
    <n v="14"/>
    <n v="423.62520770840501"/>
    <x v="2"/>
  </r>
  <r>
    <x v="271"/>
    <x v="0"/>
    <n v="1052.6608688735701"/>
    <n v="3"/>
    <n v="216.31650490000001"/>
    <x v="2"/>
  </r>
  <r>
    <x v="271"/>
    <x v="1"/>
    <n v="456.76071983210898"/>
    <n v="12"/>
    <n v="156.91649829475901"/>
    <x v="1"/>
  </r>
  <r>
    <x v="271"/>
    <x v="2"/>
    <n v="1144.9190077783901"/>
    <n v="3"/>
    <n v="263.45536582617302"/>
    <x v="1"/>
  </r>
  <r>
    <x v="271"/>
    <x v="3"/>
    <n v="1137.09020936004"/>
    <n v="14"/>
    <n v="366.69815920273999"/>
    <x v="3"/>
  </r>
  <r>
    <x v="271"/>
    <x v="5"/>
    <n v="1393.8707961759301"/>
    <n v="1"/>
    <n v="160.82347121450701"/>
    <x v="2"/>
  </r>
  <r>
    <x v="272"/>
    <x v="0"/>
    <n v="952.37748196918801"/>
    <n v="8"/>
    <n v="309.22644010815901"/>
    <x v="3"/>
  </r>
  <r>
    <x v="272"/>
    <x v="1"/>
    <n v="814.85944746928305"/>
    <n v="6"/>
    <n v="236.65412277824601"/>
    <x v="3"/>
  </r>
  <r>
    <x v="272"/>
    <x v="2"/>
    <n v="657.61287857318302"/>
    <n v="14"/>
    <n v="123.350651984789"/>
    <x v="2"/>
  </r>
  <r>
    <x v="272"/>
    <x v="3"/>
    <n v="1197.1180206276999"/>
    <n v="13"/>
    <n v="256.356318556605"/>
    <x v="1"/>
  </r>
  <r>
    <x v="272"/>
    <x v="5"/>
    <n v="973.76940136684505"/>
    <n v="17"/>
    <n v="359.69733413230102"/>
    <x v="3"/>
  </r>
  <r>
    <x v="273"/>
    <x v="0"/>
    <n v="1164.49588826634"/>
    <n v="1"/>
    <n v="363.53660425812899"/>
    <x v="3"/>
  </r>
  <r>
    <x v="273"/>
    <x v="1"/>
    <n v="1342.84289163326"/>
    <n v="16"/>
    <n v="134.664346709125"/>
    <x v="2"/>
  </r>
  <r>
    <x v="273"/>
    <x v="2"/>
    <n v="1371.5088497530301"/>
    <n v="10"/>
    <n v="539.25690863759405"/>
    <x v="1"/>
  </r>
  <r>
    <x v="273"/>
    <x v="3"/>
    <n v="679.23680291165101"/>
    <n v="16"/>
    <n v="180.1323352"/>
    <x v="3"/>
  </r>
  <r>
    <x v="273"/>
    <x v="5"/>
    <n v="524.90505245185"/>
    <n v="14"/>
    <n v="147.01300461597"/>
    <x v="3"/>
  </r>
  <r>
    <x v="274"/>
    <x v="0"/>
    <n v="1235.0458964776301"/>
    <n v="14"/>
    <n v="336.01768225793398"/>
    <x v="2"/>
  </r>
  <r>
    <x v="274"/>
    <x v="1"/>
    <n v="1132.7872567700001"/>
    <n v="12"/>
    <n v="333.65044160000002"/>
    <x v="2"/>
  </r>
  <r>
    <x v="274"/>
    <x v="2"/>
    <n v="601.4261027"/>
    <n v="18"/>
    <n v="119.294582352921"/>
    <x v="1"/>
  </r>
  <r>
    <x v="274"/>
    <x v="3"/>
    <n v="996.59644306741495"/>
    <n v="19"/>
    <n v="156.98473398424301"/>
    <x v="3"/>
  </r>
  <r>
    <x v="274"/>
    <x v="5"/>
    <n v="876.33377649265799"/>
    <n v="11"/>
    <n v="109.786490714401"/>
    <x v="1"/>
  </r>
  <r>
    <x v="275"/>
    <x v="0"/>
    <n v="1274.04211960522"/>
    <n v="5"/>
    <n v="196.89721630128099"/>
    <x v="3"/>
  </r>
  <r>
    <x v="275"/>
    <x v="1"/>
    <n v="1161.6493668376099"/>
    <n v="5"/>
    <n v="157.67294627998399"/>
    <x v="1"/>
  </r>
  <r>
    <x v="275"/>
    <x v="2"/>
    <n v="1220.8236449026799"/>
    <n v="6"/>
    <n v="199.63367102143599"/>
    <x v="0"/>
  </r>
  <r>
    <x v="275"/>
    <x v="3"/>
    <n v="1204.3556950372299"/>
    <n v="6"/>
    <n v="430.41320939691201"/>
    <x v="3"/>
  </r>
  <r>
    <x v="275"/>
    <x v="5"/>
    <n v="1150.60578129905"/>
    <n v="3"/>
    <n v="220.7786586"/>
    <x v="1"/>
  </r>
  <r>
    <x v="276"/>
    <x v="0"/>
    <n v="1099.9720109567199"/>
    <n v="12"/>
    <n v="140.59231016340601"/>
    <x v="2"/>
  </r>
  <r>
    <x v="276"/>
    <x v="1"/>
    <n v="1050.9534091747"/>
    <n v="9"/>
    <n v="364.14744358112603"/>
    <x v="0"/>
  </r>
  <r>
    <x v="276"/>
    <x v="2"/>
    <n v="889.87887820549804"/>
    <n v="19"/>
    <n v="217.737521674622"/>
    <x v="1"/>
  </r>
  <r>
    <x v="276"/>
    <x v="3"/>
    <n v="788.55334870000002"/>
    <n v="4"/>
    <n v="120.15735842509299"/>
    <x v="2"/>
  </r>
  <r>
    <x v="276"/>
    <x v="5"/>
    <n v="1437.4075826692899"/>
    <n v="4"/>
    <n v="395.00800390000001"/>
    <x v="1"/>
  </r>
  <r>
    <x v="277"/>
    <x v="0"/>
    <n v="551.14025377719895"/>
    <n v="2"/>
    <n v="75.189017927423393"/>
    <x v="2"/>
  </r>
  <r>
    <x v="277"/>
    <x v="1"/>
    <n v="617.65213525029299"/>
    <n v="19"/>
    <n v="152.04347444349901"/>
    <x v="0"/>
  </r>
  <r>
    <x v="277"/>
    <x v="2"/>
    <n v="1113.86509138366"/>
    <n v="12"/>
    <n v="275.053123319912"/>
    <x v="3"/>
  </r>
  <r>
    <x v="277"/>
    <x v="3"/>
    <n v="793.42359260000001"/>
    <n v="4"/>
    <n v="126.366014188264"/>
    <x v="3"/>
  </r>
  <r>
    <x v="277"/>
    <x v="5"/>
    <n v="874.81236795639904"/>
    <n v="16"/>
    <n v="136.23723009115099"/>
    <x v="0"/>
  </r>
  <r>
    <x v="278"/>
    <x v="0"/>
    <n v="1042.4652337238001"/>
    <n v="16"/>
    <n v="241.13789503513499"/>
    <x v="0"/>
  </r>
  <r>
    <x v="278"/>
    <x v="1"/>
    <n v="273.08605029953901"/>
    <n v="12"/>
    <n v="55.737054196684099"/>
    <x v="1"/>
  </r>
  <r>
    <x v="278"/>
    <x v="2"/>
    <n v="926.30041721217799"/>
    <n v="9"/>
    <n v="183.74576585810999"/>
    <x v="2"/>
  </r>
  <r>
    <x v="278"/>
    <x v="3"/>
    <n v="1258.4903988916401"/>
    <n v="6"/>
    <n v="139.70990595571101"/>
    <x v="3"/>
  </r>
  <r>
    <x v="278"/>
    <x v="5"/>
    <n v="1254.88584023521"/>
    <n v="6"/>
    <n v="333.60445196662403"/>
    <x v="2"/>
  </r>
  <r>
    <x v="279"/>
    <x v="0"/>
    <n v="866.84249490000002"/>
    <n v="6"/>
    <n v="212.81451019447101"/>
    <x v="2"/>
  </r>
  <r>
    <x v="279"/>
    <x v="1"/>
    <n v="644.86721475444097"/>
    <n v="6"/>
    <n v="183.30729328979101"/>
    <x v="2"/>
  </r>
  <r>
    <x v="279"/>
    <x v="2"/>
    <n v="1377.00574177063"/>
    <n v="7"/>
    <n v="337.43446597521501"/>
    <x v="1"/>
  </r>
  <r>
    <x v="279"/>
    <x v="3"/>
    <n v="1210.4490604356899"/>
    <n v="12"/>
    <n v="208.13185679022899"/>
    <x v="1"/>
  </r>
  <r>
    <x v="279"/>
    <x v="5"/>
    <n v="1238.0826061108601"/>
    <n v="10"/>
    <n v="311.344886236783"/>
    <x v="3"/>
  </r>
  <r>
    <x v="280"/>
    <x v="0"/>
    <n v="1049.38235359244"/>
    <n v="11"/>
    <n v="354.25121573506902"/>
    <x v="0"/>
  </r>
  <r>
    <x v="280"/>
    <x v="1"/>
    <n v="987.47886028705602"/>
    <n v="8"/>
    <n v="345.863712888517"/>
    <x v="0"/>
  </r>
  <r>
    <x v="280"/>
    <x v="2"/>
    <n v="1113.91315727036"/>
    <n v="1"/>
    <n v="393.43194564099201"/>
    <x v="2"/>
  </r>
  <r>
    <x v="280"/>
    <x v="3"/>
    <n v="1525.1832253692801"/>
    <n v="15"/>
    <n v="345.47502559005699"/>
    <x v="2"/>
  </r>
  <r>
    <x v="280"/>
    <x v="5"/>
    <n v="1300.1988115475001"/>
    <n v="18"/>
    <n v="259.686118182283"/>
    <x v="3"/>
  </r>
  <r>
    <x v="281"/>
    <x v="0"/>
    <n v="1097.1095330000001"/>
    <n v="8"/>
    <n v="144.804289881285"/>
    <x v="3"/>
  </r>
  <r>
    <x v="281"/>
    <x v="1"/>
    <n v="849.05292871771906"/>
    <n v="17"/>
    <n v="331.03069960609798"/>
    <x v="2"/>
  </r>
  <r>
    <x v="281"/>
    <x v="2"/>
    <n v="576.53015344481196"/>
    <n v="4"/>
    <n v="147.00843078615199"/>
    <x v="0"/>
  </r>
  <r>
    <x v="281"/>
    <x v="3"/>
    <n v="680.73354689934695"/>
    <n v="19"/>
    <n v="207.99973769051999"/>
    <x v="2"/>
  </r>
  <r>
    <x v="281"/>
    <x v="5"/>
    <n v="1298.5633667432101"/>
    <n v="19"/>
    <n v="208.340436954491"/>
    <x v="1"/>
  </r>
  <r>
    <x v="282"/>
    <x v="0"/>
    <n v="710.92496664098701"/>
    <n v="2"/>
    <n v="83.083873150000002"/>
    <x v="3"/>
  </r>
  <r>
    <x v="282"/>
    <x v="1"/>
    <n v="653.54020609762495"/>
    <n v="18"/>
    <n v="244.31962757715101"/>
    <x v="0"/>
  </r>
  <r>
    <x v="282"/>
    <x v="2"/>
    <n v="680.90623698101604"/>
    <n v="8"/>
    <n v="182.32315782430601"/>
    <x v="2"/>
  </r>
  <r>
    <x v="282"/>
    <x v="3"/>
    <n v="791.65513724133405"/>
    <n v="12"/>
    <n v="294.39284008446998"/>
    <x v="3"/>
  </r>
  <r>
    <x v="282"/>
    <x v="5"/>
    <n v="968.69716210393199"/>
    <n v="12"/>
    <n v="120.03564576242201"/>
    <x v="0"/>
  </r>
  <r>
    <x v="283"/>
    <x v="0"/>
    <n v="1117.99211500159"/>
    <n v="7"/>
    <n v="424.57987961403597"/>
    <x v="3"/>
  </r>
  <r>
    <x v="283"/>
    <x v="1"/>
    <n v="917.74674599067203"/>
    <n v="9"/>
    <n v="203.670910786348"/>
    <x v="0"/>
  </r>
  <r>
    <x v="283"/>
    <x v="2"/>
    <n v="972.72154815289696"/>
    <n v="13"/>
    <n v="286.56852081033998"/>
    <x v="2"/>
  </r>
  <r>
    <x v="283"/>
    <x v="3"/>
    <n v="707.38592944919799"/>
    <n v="14"/>
    <n v="136.46006059999999"/>
    <x v="2"/>
  </r>
  <r>
    <x v="283"/>
    <x v="5"/>
    <n v="1280.8106963451701"/>
    <n v="7"/>
    <n v="420.25963153953597"/>
    <x v="3"/>
  </r>
  <r>
    <x v="284"/>
    <x v="0"/>
    <n v="1272.94306673607"/>
    <n v="4"/>
    <n v="416.17005700774001"/>
    <x v="0"/>
  </r>
  <r>
    <x v="284"/>
    <x v="1"/>
    <n v="560.61938102481201"/>
    <n v="4"/>
    <n v="94.036537793047799"/>
    <x v="2"/>
  </r>
  <r>
    <x v="284"/>
    <x v="2"/>
    <n v="513.66415688314601"/>
    <n v="17"/>
    <n v="203.10092930418801"/>
    <x v="3"/>
  </r>
  <r>
    <x v="284"/>
    <x v="3"/>
    <n v="902.28226697887305"/>
    <n v="13"/>
    <n v="125.512822002856"/>
    <x v="3"/>
  </r>
  <r>
    <x v="284"/>
    <x v="5"/>
    <n v="1119.533159007"/>
    <n v="10"/>
    <n v="123.517413397448"/>
    <x v="3"/>
  </r>
  <r>
    <x v="285"/>
    <x v="0"/>
    <n v="1131.16932926411"/>
    <n v="5"/>
    <n v="215.53618360050299"/>
    <x v="0"/>
  </r>
  <r>
    <x v="285"/>
    <x v="1"/>
    <n v="1023.92695806976"/>
    <n v="3"/>
    <n v="143.461071221884"/>
    <x v="2"/>
  </r>
  <r>
    <x v="285"/>
    <x v="2"/>
    <n v="742.23005737107303"/>
    <n v="2"/>
    <n v="241.54169736147301"/>
    <x v="2"/>
  </r>
  <r>
    <x v="285"/>
    <x v="3"/>
    <n v="1409.941852703"/>
    <n v="11"/>
    <n v="537.82845543847702"/>
    <x v="3"/>
  </r>
  <r>
    <x v="285"/>
    <x v="5"/>
    <n v="984.44044995833099"/>
    <n v="1"/>
    <n v="161.986414084628"/>
    <x v="0"/>
  </r>
  <r>
    <x v="286"/>
    <x v="0"/>
    <n v="1178.64726929177"/>
    <n v="6"/>
    <n v="227.58751733008501"/>
    <x v="0"/>
  </r>
  <r>
    <x v="286"/>
    <x v="1"/>
    <n v="823.03157306113201"/>
    <n v="19"/>
    <n v="142.11874415380601"/>
    <x v="2"/>
  </r>
  <r>
    <x v="286"/>
    <x v="2"/>
    <n v="1405.3218677239399"/>
    <n v="12"/>
    <n v="241.29989245336699"/>
    <x v="0"/>
  </r>
  <r>
    <x v="286"/>
    <x v="3"/>
    <n v="1265.85735657543"/>
    <n v="3"/>
    <n v="369.77493940220899"/>
    <x v="0"/>
  </r>
  <r>
    <x v="286"/>
    <x v="5"/>
    <n v="797.12763752727199"/>
    <n v="9"/>
    <n v="221.535207641608"/>
    <x v="0"/>
  </r>
  <r>
    <x v="287"/>
    <x v="0"/>
    <n v="671.69056069999999"/>
    <n v="9"/>
    <n v="94.038922080000006"/>
    <x v="2"/>
  </r>
  <r>
    <x v="287"/>
    <x v="1"/>
    <n v="747.81777175910599"/>
    <n v="12"/>
    <n v="126.46794416849799"/>
    <x v="2"/>
  </r>
  <r>
    <x v="287"/>
    <x v="2"/>
    <n v="1224.98499119537"/>
    <n v="10"/>
    <n v="258.23447885821003"/>
    <x v="3"/>
  </r>
  <r>
    <x v="287"/>
    <x v="3"/>
    <n v="652.51420109019796"/>
    <n v="3"/>
    <n v="178.24392552977599"/>
    <x v="2"/>
  </r>
  <r>
    <x v="287"/>
    <x v="5"/>
    <n v="495.52687006976703"/>
    <n v="7"/>
    <n v="52.029400357836899"/>
    <x v="2"/>
  </r>
  <r>
    <x v="288"/>
    <x v="0"/>
    <n v="735.77377309999997"/>
    <n v="17"/>
    <n v="135.893111812207"/>
    <x v="3"/>
  </r>
  <r>
    <x v="288"/>
    <x v="1"/>
    <n v="1539.61750550539"/>
    <n v="7"/>
    <n v="272.39514637601798"/>
    <x v="0"/>
  </r>
  <r>
    <x v="288"/>
    <x v="2"/>
    <n v="1321.1095480689701"/>
    <n v="15"/>
    <n v="278.06057469403902"/>
    <x v="3"/>
  </r>
  <r>
    <x v="288"/>
    <x v="3"/>
    <n v="1381.56772658159"/>
    <n v="16"/>
    <n v="312.539589529463"/>
    <x v="2"/>
  </r>
  <r>
    <x v="288"/>
    <x v="5"/>
    <n v="967.99729541670297"/>
    <n v="16"/>
    <n v="252.498818686394"/>
    <x v="0"/>
  </r>
  <r>
    <x v="289"/>
    <x v="0"/>
    <n v="1344.7778050091899"/>
    <n v="15"/>
    <n v="313.42602310000001"/>
    <x v="3"/>
  </r>
  <r>
    <x v="289"/>
    <x v="1"/>
    <n v="292.79973262015602"/>
    <n v="4"/>
    <n v="95.768438142408002"/>
    <x v="0"/>
  </r>
  <r>
    <x v="289"/>
    <x v="2"/>
    <n v="845.51544081185602"/>
    <n v="18"/>
    <n v="303.44524999999999"/>
    <x v="1"/>
  </r>
  <r>
    <x v="289"/>
    <x v="3"/>
    <n v="714.741314359993"/>
    <n v="4"/>
    <n v="259.68326042906301"/>
    <x v="1"/>
  </r>
  <r>
    <x v="289"/>
    <x v="5"/>
    <n v="946.34346354750699"/>
    <n v="15"/>
    <n v="328.20220607730499"/>
    <x v="3"/>
  </r>
  <r>
    <x v="290"/>
    <x v="0"/>
    <n v="441.41495953778502"/>
    <n v="18"/>
    <n v="155.30566057752"/>
    <x v="1"/>
  </r>
  <r>
    <x v="290"/>
    <x v="1"/>
    <n v="1033.6963496409401"/>
    <n v="13"/>
    <n v="163.120301277176"/>
    <x v="2"/>
  </r>
  <r>
    <x v="290"/>
    <x v="2"/>
    <n v="1548.98790092626"/>
    <n v="19"/>
    <n v="374.06185012621302"/>
    <x v="1"/>
  </r>
  <r>
    <x v="290"/>
    <x v="3"/>
    <n v="1033.6199125534699"/>
    <n v="12"/>
    <n v="126.711909618707"/>
    <x v="1"/>
  </r>
  <r>
    <x v="290"/>
    <x v="5"/>
    <n v="947.386463230392"/>
    <n v="10"/>
    <n v="224.54876063601"/>
    <x v="0"/>
  </r>
  <r>
    <x v="291"/>
    <x v="0"/>
    <n v="1147.4516941740301"/>
    <n v="13"/>
    <n v="132.811237567528"/>
    <x v="2"/>
  </r>
  <r>
    <x v="291"/>
    <x v="1"/>
    <n v="1544.0223095546201"/>
    <n v="19"/>
    <n v="395.98813737407198"/>
    <x v="0"/>
  </r>
  <r>
    <x v="291"/>
    <x v="2"/>
    <n v="897.13634153272994"/>
    <n v="17"/>
    <n v="165.564269875957"/>
    <x v="0"/>
  </r>
  <r>
    <x v="291"/>
    <x v="3"/>
    <n v="965.87842804460797"/>
    <n v="17"/>
    <n v="321.00552386981798"/>
    <x v="0"/>
  </r>
  <r>
    <x v="291"/>
    <x v="5"/>
    <n v="1021.5592493375"/>
    <n v="8"/>
    <n v="233.43194808619299"/>
    <x v="1"/>
  </r>
  <r>
    <x v="292"/>
    <x v="0"/>
    <n v="1154.5163879057"/>
    <n v="13"/>
    <n v="379.33594944213399"/>
    <x v="0"/>
  </r>
  <r>
    <x v="292"/>
    <x v="1"/>
    <n v="476.72736191821298"/>
    <n v="11"/>
    <n v="124.26506131034201"/>
    <x v="2"/>
  </r>
  <r>
    <x v="292"/>
    <x v="2"/>
    <n v="1019.3863093541499"/>
    <n v="1"/>
    <n v="342.06217646262098"/>
    <x v="1"/>
  </r>
  <r>
    <x v="292"/>
    <x v="3"/>
    <n v="499.85309884679299"/>
    <n v="16"/>
    <n v="194.251686474998"/>
    <x v="1"/>
  </r>
  <r>
    <x v="292"/>
    <x v="5"/>
    <n v="1019.9554821882"/>
    <n v="5"/>
    <n v="145.694818053419"/>
    <x v="2"/>
  </r>
  <r>
    <x v="293"/>
    <x v="0"/>
    <n v="810.38177263388195"/>
    <n v="15"/>
    <n v="149.73025325836699"/>
    <x v="0"/>
  </r>
  <r>
    <x v="293"/>
    <x v="1"/>
    <n v="1166.18681412468"/>
    <n v="13"/>
    <n v="135.84897608978699"/>
    <x v="0"/>
  </r>
  <r>
    <x v="293"/>
    <x v="2"/>
    <n v="1257.3456524604301"/>
    <n v="3"/>
    <n v="156.881088422023"/>
    <x v="1"/>
  </r>
  <r>
    <x v="293"/>
    <x v="3"/>
    <n v="752.59004189296195"/>
    <n v="13"/>
    <n v="133.68838102508701"/>
    <x v="3"/>
  </r>
  <r>
    <x v="293"/>
    <x v="5"/>
    <n v="1400.04654985152"/>
    <n v="12"/>
    <n v="176.532017983207"/>
    <x v="0"/>
  </r>
  <r>
    <x v="294"/>
    <x v="0"/>
    <n v="1547.04744078983"/>
    <n v="6"/>
    <n v="310.12652459873198"/>
    <x v="0"/>
  </r>
  <r>
    <x v="294"/>
    <x v="1"/>
    <n v="928.62977446924697"/>
    <n v="17"/>
    <n v="346.26618631861101"/>
    <x v="0"/>
  </r>
  <r>
    <x v="294"/>
    <x v="2"/>
    <n v="1176.73718430025"/>
    <n v="7"/>
    <n v="318.95989679724801"/>
    <x v="2"/>
  </r>
  <r>
    <x v="294"/>
    <x v="3"/>
    <n v="1050.5674903894101"/>
    <n v="10"/>
    <n v="402.06418849203698"/>
    <x v="0"/>
  </r>
  <r>
    <x v="294"/>
    <x v="5"/>
    <n v="1556.99423096858"/>
    <n v="17"/>
    <n v="255.25773814132299"/>
    <x v="2"/>
  </r>
  <r>
    <x v="295"/>
    <x v="0"/>
    <n v="855.47020867195704"/>
    <n v="7"/>
    <n v="222.41974290033301"/>
    <x v="3"/>
  </r>
  <r>
    <x v="295"/>
    <x v="1"/>
    <n v="844.724184260117"/>
    <n v="5"/>
    <n v="215.024632769482"/>
    <x v="0"/>
  </r>
  <r>
    <x v="295"/>
    <x v="2"/>
    <n v="910.52215380552695"/>
    <n v="19"/>
    <n v="258.044251847868"/>
    <x v="0"/>
  </r>
  <r>
    <x v="295"/>
    <x v="3"/>
    <n v="1093.3603941876399"/>
    <n v="17"/>
    <n v="403.14155576384502"/>
    <x v="3"/>
  </r>
  <r>
    <x v="295"/>
    <x v="5"/>
    <n v="1103.56053316884"/>
    <n v="9"/>
    <n v="369.178461773648"/>
    <x v="3"/>
  </r>
  <r>
    <x v="296"/>
    <x v="0"/>
    <n v="1053.21375127434"/>
    <n v="19"/>
    <n v="212.11142011698999"/>
    <x v="3"/>
  </r>
  <r>
    <x v="296"/>
    <x v="1"/>
    <n v="370.038030334285"/>
    <n v="1"/>
    <n v="57.8189370307907"/>
    <x v="0"/>
  </r>
  <r>
    <x v="296"/>
    <x v="2"/>
    <n v="484.88141546738501"/>
    <n v="7"/>
    <n v="122.83411022438899"/>
    <x v="2"/>
  </r>
  <r>
    <x v="296"/>
    <x v="3"/>
    <n v="1009.69906983867"/>
    <n v="16"/>
    <n v="393.87406989999999"/>
    <x v="1"/>
  </r>
  <r>
    <x v="296"/>
    <x v="5"/>
    <n v="1291.6272456269301"/>
    <n v="17"/>
    <n v="349.723497412168"/>
    <x v="3"/>
  </r>
  <r>
    <x v="297"/>
    <x v="0"/>
    <n v="1391.03003245472"/>
    <n v="8"/>
    <n v="382.43828938754899"/>
    <x v="2"/>
  </r>
  <r>
    <x v="297"/>
    <x v="1"/>
    <n v="667.52585418464002"/>
    <n v="6"/>
    <n v="119.31724415131499"/>
    <x v="0"/>
  </r>
  <r>
    <x v="297"/>
    <x v="2"/>
    <n v="1478.22463958555"/>
    <n v="9"/>
    <n v="256.02642432272"/>
    <x v="1"/>
  </r>
  <r>
    <x v="297"/>
    <x v="3"/>
    <n v="1331.5055316554799"/>
    <n v="14"/>
    <n v="272.180484372016"/>
    <x v="3"/>
  </r>
  <r>
    <x v="297"/>
    <x v="5"/>
    <n v="1655.73394368135"/>
    <n v="7"/>
    <n v="645.71416092443599"/>
    <x v="0"/>
  </r>
  <r>
    <x v="298"/>
    <x v="0"/>
    <n v="836.92212288290204"/>
    <n v="16"/>
    <n v="268.60342011284098"/>
    <x v="2"/>
  </r>
  <r>
    <x v="298"/>
    <x v="1"/>
    <n v="771.37141451630396"/>
    <n v="4"/>
    <n v="267.300038733294"/>
    <x v="0"/>
  </r>
  <r>
    <x v="298"/>
    <x v="2"/>
    <n v="592.42779542275696"/>
    <n v="12"/>
    <n v="227.821721505098"/>
    <x v="3"/>
  </r>
  <r>
    <x v="298"/>
    <x v="3"/>
    <n v="676.07910361724498"/>
    <n v="18"/>
    <n v="68.986411700000005"/>
    <x v="3"/>
  </r>
  <r>
    <x v="298"/>
    <x v="5"/>
    <n v="979.56297244961399"/>
    <n v="10"/>
    <n v="251.50185540865201"/>
    <x v="3"/>
  </r>
  <r>
    <x v="299"/>
    <x v="0"/>
    <n v="1109.1911892558201"/>
    <n v="17"/>
    <n v="191.313721066234"/>
    <x v="2"/>
  </r>
  <r>
    <x v="299"/>
    <x v="1"/>
    <n v="976.14181968753996"/>
    <n v="2"/>
    <n v="116.383840327713"/>
    <x v="2"/>
  </r>
  <r>
    <x v="299"/>
    <x v="2"/>
    <n v="281.89475447976099"/>
    <n v="13"/>
    <n v="90.7346917592089"/>
    <x v="2"/>
  </r>
  <r>
    <x v="299"/>
    <x v="3"/>
    <n v="1481.9642158864999"/>
    <n v="6"/>
    <n v="523.34656224254695"/>
    <x v="2"/>
  </r>
  <r>
    <x v="299"/>
    <x v="5"/>
    <n v="730.72999449988902"/>
    <n v="3"/>
    <n v="278.66223194947099"/>
    <x v="2"/>
  </r>
  <r>
    <x v="300"/>
    <x v="0"/>
    <n v="830.04670143055796"/>
    <n v="7"/>
    <n v="146.250432169139"/>
    <x v="2"/>
  </r>
  <r>
    <x v="300"/>
    <x v="1"/>
    <n v="663.94496839383805"/>
    <n v="4"/>
    <n v="84.234570194540197"/>
    <x v="3"/>
  </r>
  <r>
    <x v="300"/>
    <x v="2"/>
    <n v="776.40295488787206"/>
    <n v="5"/>
    <n v="245.90499555142699"/>
    <x v="0"/>
  </r>
  <r>
    <x v="300"/>
    <x v="3"/>
    <n v="796.08003171988503"/>
    <n v="13"/>
    <n v="167.179723427477"/>
    <x v="3"/>
  </r>
  <r>
    <x v="300"/>
    <x v="5"/>
    <n v="569.94220831345103"/>
    <n v="5"/>
    <n v="68.627421943681696"/>
    <x v="2"/>
  </r>
  <r>
    <x v="301"/>
    <x v="0"/>
    <n v="368.4666436"/>
    <n v="3"/>
    <n v="66.338132004805999"/>
    <x v="3"/>
  </r>
  <r>
    <x v="301"/>
    <x v="1"/>
    <n v="743.00481057676097"/>
    <n v="14"/>
    <n v="262.62190498073898"/>
    <x v="1"/>
  </r>
  <r>
    <x v="301"/>
    <x v="2"/>
    <n v="957.36656165093598"/>
    <n v="6"/>
    <n v="293.11721029931101"/>
    <x v="3"/>
  </r>
  <r>
    <x v="301"/>
    <x v="3"/>
    <n v="1193.87023934731"/>
    <n v="2"/>
    <n v="122.906870696338"/>
    <x v="3"/>
  </r>
  <r>
    <x v="301"/>
    <x v="5"/>
    <n v="617.50256481533904"/>
    <n v="2"/>
    <n v="122.768019558844"/>
    <x v="1"/>
  </r>
  <r>
    <x v="302"/>
    <x v="0"/>
    <n v="950.49779159009699"/>
    <n v="11"/>
    <n v="326.48468459999998"/>
    <x v="1"/>
  </r>
  <r>
    <x v="302"/>
    <x v="1"/>
    <n v="1324.8050550951"/>
    <n v="12"/>
    <n v="421.42785143034598"/>
    <x v="3"/>
  </r>
  <r>
    <x v="302"/>
    <x v="2"/>
    <n v="1048.2653148975301"/>
    <n v="13"/>
    <n v="392.60632235722301"/>
    <x v="0"/>
  </r>
  <r>
    <x v="302"/>
    <x v="3"/>
    <n v="723.222199951741"/>
    <n v="8"/>
    <n v="165.880518646925"/>
    <x v="3"/>
  </r>
  <r>
    <x v="302"/>
    <x v="5"/>
    <n v="939.85761725263603"/>
    <n v="5"/>
    <n v="240.118504732319"/>
    <x v="2"/>
  </r>
  <r>
    <x v="303"/>
    <x v="0"/>
    <n v="469.89689049999998"/>
    <n v="7"/>
    <n v="71.540395514655003"/>
    <x v="2"/>
  </r>
  <r>
    <x v="303"/>
    <x v="1"/>
    <n v="1097.2776388105499"/>
    <n v="8"/>
    <n v="118.642420603991"/>
    <x v="0"/>
  </r>
  <r>
    <x v="303"/>
    <x v="2"/>
    <n v="1683.4729211746801"/>
    <n v="7"/>
    <n v="318.06437445885302"/>
    <x v="2"/>
  </r>
  <r>
    <x v="303"/>
    <x v="3"/>
    <n v="1005.23663957579"/>
    <n v="2"/>
    <n v="178.36144191932101"/>
    <x v="0"/>
  </r>
  <r>
    <x v="303"/>
    <x v="5"/>
    <n v="596.76915514527502"/>
    <n v="12"/>
    <n v="83.538895741486598"/>
    <x v="0"/>
  </r>
  <r>
    <x v="304"/>
    <x v="0"/>
    <n v="629.86814753333294"/>
    <n v="14"/>
    <n v="209.59692544915501"/>
    <x v="2"/>
  </r>
  <r>
    <x v="304"/>
    <x v="1"/>
    <n v="950.57772096876897"/>
    <n v="15"/>
    <n v="278.683139599816"/>
    <x v="0"/>
  </r>
  <r>
    <x v="304"/>
    <x v="2"/>
    <n v="1478.39219236489"/>
    <n v="1"/>
    <n v="351.13151601120597"/>
    <x v="1"/>
  </r>
  <r>
    <x v="304"/>
    <x v="3"/>
    <n v="999.18394146726598"/>
    <n v="5"/>
    <n v="110.223035593668"/>
    <x v="2"/>
  </r>
  <r>
    <x v="304"/>
    <x v="5"/>
    <n v="431.073287182098"/>
    <n v="15"/>
    <n v="60.3609942135434"/>
    <x v="3"/>
  </r>
  <r>
    <x v="305"/>
    <x v="0"/>
    <n v="997.72513362368704"/>
    <n v="12"/>
    <n v="337.73341093666801"/>
    <x v="0"/>
  </r>
  <r>
    <x v="305"/>
    <x v="1"/>
    <n v="1057.44785550195"/>
    <n v="2"/>
    <n v="383.99978334956302"/>
    <x v="2"/>
  </r>
  <r>
    <x v="305"/>
    <x v="2"/>
    <n v="731.94205451400296"/>
    <n v="13"/>
    <n v="175.79659747499699"/>
    <x v="1"/>
  </r>
  <r>
    <x v="305"/>
    <x v="3"/>
    <n v="960.09343580797304"/>
    <n v="7"/>
    <n v="334.55008861070701"/>
    <x v="3"/>
  </r>
  <r>
    <x v="305"/>
    <x v="5"/>
    <n v="1254.7606927786601"/>
    <n v="13"/>
    <n v="144.03736292570699"/>
    <x v="3"/>
  </r>
  <r>
    <x v="306"/>
    <x v="0"/>
    <n v="1275.6996271770499"/>
    <n v="6"/>
    <n v="275.56251784161401"/>
    <x v="3"/>
  </r>
  <r>
    <x v="306"/>
    <x v="1"/>
    <n v="961.92465879101098"/>
    <n v="2"/>
    <n v="375.96562666278402"/>
    <x v="3"/>
  </r>
  <r>
    <x v="306"/>
    <x v="2"/>
    <n v="812.99479591292095"/>
    <n v="9"/>
    <n v="308.69773572947901"/>
    <x v="2"/>
  </r>
  <r>
    <x v="306"/>
    <x v="3"/>
    <n v="1101.51520804334"/>
    <n v="19"/>
    <n v="254.48013438144699"/>
    <x v="2"/>
  </r>
  <r>
    <x v="306"/>
    <x v="5"/>
    <n v="729.79858524625502"/>
    <n v="11"/>
    <n v="78.375494015972905"/>
    <x v="2"/>
  </r>
  <r>
    <x v="307"/>
    <x v="0"/>
    <n v="710.73997857302595"/>
    <n v="11"/>
    <n v="225.729536880323"/>
    <x v="0"/>
  </r>
  <r>
    <x v="307"/>
    <x v="1"/>
    <n v="478.17940841897803"/>
    <n v="2"/>
    <n v="57.182141236890097"/>
    <x v="1"/>
  </r>
  <r>
    <x v="307"/>
    <x v="2"/>
    <n v="684.255976901076"/>
    <n v="15"/>
    <n v="201.09802820078701"/>
    <x v="0"/>
  </r>
  <r>
    <x v="307"/>
    <x v="3"/>
    <n v="1888.9325368920099"/>
    <n v="7"/>
    <n v="624.03324796261302"/>
    <x v="1"/>
  </r>
  <r>
    <x v="307"/>
    <x v="5"/>
    <n v="1322.6972406477601"/>
    <n v="6"/>
    <n v="365.73862615078201"/>
    <x v="1"/>
  </r>
  <r>
    <x v="308"/>
    <x v="0"/>
    <n v="1324.51650831852"/>
    <n v="12"/>
    <n v="367.96236823703703"/>
    <x v="2"/>
  </r>
  <r>
    <x v="308"/>
    <x v="1"/>
    <n v="863.08406159875699"/>
    <n v="5"/>
    <n v="308.55180073646397"/>
    <x v="2"/>
  </r>
  <r>
    <x v="308"/>
    <x v="2"/>
    <n v="1232.99380851824"/>
    <n v="10"/>
    <n v="225.08429434794101"/>
    <x v="3"/>
  </r>
  <r>
    <x v="308"/>
    <x v="3"/>
    <n v="983.15971511212399"/>
    <n v="17"/>
    <n v="198.07648995214001"/>
    <x v="3"/>
  </r>
  <r>
    <x v="308"/>
    <x v="5"/>
    <n v="894.745170977057"/>
    <n v="14"/>
    <n v="308.74710962327703"/>
    <x v="0"/>
  </r>
  <r>
    <x v="309"/>
    <x v="0"/>
    <n v="334.49567198467503"/>
    <n v="13"/>
    <n v="103.646921671689"/>
    <x v="1"/>
  </r>
  <r>
    <x v="309"/>
    <x v="1"/>
    <n v="729.82289423918098"/>
    <n v="15"/>
    <n v="216.50414488052999"/>
    <x v="0"/>
  </r>
  <r>
    <x v="309"/>
    <x v="2"/>
    <n v="660.16451461967597"/>
    <n v="16"/>
    <n v="184.38705214024699"/>
    <x v="3"/>
  </r>
  <r>
    <x v="309"/>
    <x v="3"/>
    <n v="998.61349332894304"/>
    <n v="2"/>
    <n v="300.811850911058"/>
    <x v="2"/>
  </r>
  <r>
    <x v="309"/>
    <x v="5"/>
    <n v="1111.2421556625"/>
    <n v="6"/>
    <n v="390.77030541871397"/>
    <x v="1"/>
  </r>
  <r>
    <x v="310"/>
    <x v="0"/>
    <n v="779.62798402822796"/>
    <n v="7"/>
    <n v="122.98471249365799"/>
    <x v="0"/>
  </r>
  <r>
    <x v="310"/>
    <x v="1"/>
    <n v="394.056000298529"/>
    <n v="8"/>
    <n v="147.11535020040401"/>
    <x v="1"/>
  </r>
  <r>
    <x v="310"/>
    <x v="2"/>
    <n v="1739.26373229976"/>
    <n v="18"/>
    <n v="352.58099924941502"/>
    <x v="3"/>
  </r>
  <r>
    <x v="310"/>
    <x v="3"/>
    <n v="1098.0293432984499"/>
    <n v="9"/>
    <n v="139.89549666462401"/>
    <x v="2"/>
  </r>
  <r>
    <x v="310"/>
    <x v="5"/>
    <n v="1248.7641822478699"/>
    <n v="4"/>
    <n v="195.39370690000001"/>
    <x v="2"/>
  </r>
  <r>
    <x v="311"/>
    <x v="0"/>
    <n v="1276.835529"/>
    <n v="5"/>
    <n v="149.51835498182299"/>
    <x v="1"/>
  </r>
  <r>
    <x v="311"/>
    <x v="1"/>
    <n v="710.37414709999996"/>
    <n v="6"/>
    <n v="81.480904570939799"/>
    <x v="2"/>
  </r>
  <r>
    <x v="311"/>
    <x v="2"/>
    <n v="920.16087960739901"/>
    <n v="14"/>
    <n v="367.60024751320901"/>
    <x v="0"/>
  </r>
  <r>
    <x v="311"/>
    <x v="3"/>
    <n v="1328.4014909140801"/>
    <n v="13"/>
    <n v="143.444127041923"/>
    <x v="1"/>
  </r>
  <r>
    <x v="311"/>
    <x v="5"/>
    <n v="487.40372585721201"/>
    <n v="17"/>
    <n v="140.22360218069201"/>
    <x v="3"/>
  </r>
  <r>
    <x v="312"/>
    <x v="0"/>
    <n v="1294.33635640375"/>
    <n v="10"/>
    <n v="209.37779836874199"/>
    <x v="3"/>
  </r>
  <r>
    <x v="312"/>
    <x v="1"/>
    <n v="1339.4914359004899"/>
    <n v="9"/>
    <n v="184.62618001766401"/>
    <x v="2"/>
  </r>
  <r>
    <x v="312"/>
    <x v="2"/>
    <n v="1316.41940049453"/>
    <n v="1"/>
    <n v="162.21376070598899"/>
    <x v="2"/>
  </r>
  <r>
    <x v="312"/>
    <x v="3"/>
    <n v="762.9817382"/>
    <n v="3"/>
    <n v="214.15134195469699"/>
    <x v="2"/>
  </r>
  <r>
    <x v="312"/>
    <x v="5"/>
    <n v="1388.49567544508"/>
    <n v="18"/>
    <n v="486.44207017355399"/>
    <x v="3"/>
  </r>
  <r>
    <x v="313"/>
    <x v="0"/>
    <n v="1163.2661057021"/>
    <n v="5"/>
    <n v="289.84957136990101"/>
    <x v="3"/>
  </r>
  <r>
    <x v="313"/>
    <x v="1"/>
    <n v="1269.58535187959"/>
    <n v="17"/>
    <n v="291.49274864125601"/>
    <x v="0"/>
  </r>
  <r>
    <x v="313"/>
    <x v="2"/>
    <n v="589.49107238379304"/>
    <n v="13"/>
    <n v="161.48391881984"/>
    <x v="1"/>
  </r>
  <r>
    <x v="313"/>
    <x v="3"/>
    <n v="1196.7914394878901"/>
    <n v="12"/>
    <n v="136.94129331998599"/>
    <x v="0"/>
  </r>
  <r>
    <x v="313"/>
    <x v="5"/>
    <n v="1207.07991975187"/>
    <n v="1"/>
    <n v="126.012067938988"/>
    <x v="2"/>
  </r>
  <r>
    <x v="314"/>
    <x v="0"/>
    <n v="1001.16418500412"/>
    <n v="16"/>
    <n v="162.62091105674699"/>
    <x v="1"/>
  </r>
  <r>
    <x v="314"/>
    <x v="1"/>
    <n v="1486.6524756609499"/>
    <n v="17"/>
    <n v="261.67138073143002"/>
    <x v="1"/>
  </r>
  <r>
    <x v="314"/>
    <x v="2"/>
    <n v="1141.5587014093001"/>
    <n v="11"/>
    <n v="399.32650766721702"/>
    <x v="2"/>
  </r>
  <r>
    <x v="314"/>
    <x v="3"/>
    <n v="735.11038046596695"/>
    <n v="19"/>
    <n v="274.556283459057"/>
    <x v="0"/>
  </r>
  <r>
    <x v="314"/>
    <x v="5"/>
    <n v="1068.7440503497301"/>
    <n v="18"/>
    <n v="422.345506504637"/>
    <x v="0"/>
  </r>
  <r>
    <x v="315"/>
    <x v="0"/>
    <n v="986.57632460000002"/>
    <n v="10"/>
    <n v="115.067919514057"/>
    <x v="1"/>
  </r>
  <r>
    <x v="315"/>
    <x v="1"/>
    <n v="1094.28482652191"/>
    <n v="7"/>
    <n v="397.90817881775303"/>
    <x v="0"/>
  </r>
  <r>
    <x v="315"/>
    <x v="2"/>
    <n v="943.76890740674105"/>
    <n v="5"/>
    <n v="362.58657637239901"/>
    <x v="2"/>
  </r>
  <r>
    <x v="315"/>
    <x v="3"/>
    <n v="985.23852514798898"/>
    <n v="4"/>
    <n v="154.749818315754"/>
    <x v="0"/>
  </r>
  <r>
    <x v="315"/>
    <x v="5"/>
    <n v="1146.72516344522"/>
    <n v="1"/>
    <n v="276.037299959922"/>
    <x v="1"/>
  </r>
  <r>
    <x v="316"/>
    <x v="0"/>
    <n v="827.99804823521595"/>
    <n v="16"/>
    <n v="187.85873344302999"/>
    <x v="0"/>
  </r>
  <r>
    <x v="316"/>
    <x v="1"/>
    <n v="917.05307332397399"/>
    <n v="5"/>
    <n v="130.602174205865"/>
    <x v="2"/>
  </r>
  <r>
    <x v="316"/>
    <x v="2"/>
    <n v="1505.89107226085"/>
    <n v="5"/>
    <n v="194.68613271149701"/>
    <x v="3"/>
  </r>
  <r>
    <x v="316"/>
    <x v="3"/>
    <n v="896.86295876792201"/>
    <n v="4"/>
    <n v="338.22443772065202"/>
    <x v="0"/>
  </r>
  <r>
    <x v="316"/>
    <x v="5"/>
    <n v="618.28150683843398"/>
    <n v="4"/>
    <n v="188.453035329785"/>
    <x v="1"/>
  </r>
  <r>
    <x v="317"/>
    <x v="0"/>
    <n v="810.83707127859498"/>
    <n v="15"/>
    <n v="145.813163426264"/>
    <x v="2"/>
  </r>
  <r>
    <x v="317"/>
    <x v="1"/>
    <n v="921.76904612317901"/>
    <n v="19"/>
    <n v="322.35859356563202"/>
    <x v="2"/>
  </r>
  <r>
    <x v="317"/>
    <x v="2"/>
    <n v="628.43104328959896"/>
    <n v="17"/>
    <n v="93.689554888670301"/>
    <x v="3"/>
  </r>
  <r>
    <x v="317"/>
    <x v="3"/>
    <n v="995.69808700805197"/>
    <n v="1"/>
    <n v="393.97803830596598"/>
    <x v="1"/>
  </r>
  <r>
    <x v="317"/>
    <x v="5"/>
    <n v="935.67644150000001"/>
    <n v="15"/>
    <n v="342.56314372036098"/>
    <x v="2"/>
  </r>
  <r>
    <x v="318"/>
    <x v="0"/>
    <n v="1065.00493568928"/>
    <n v="5"/>
    <n v="367.56742164873498"/>
    <x v="3"/>
  </r>
  <r>
    <x v="318"/>
    <x v="1"/>
    <n v="908.99497975685904"/>
    <n v="12"/>
    <n v="224.314198657628"/>
    <x v="2"/>
  </r>
  <r>
    <x v="318"/>
    <x v="2"/>
    <n v="453.67417921165099"/>
    <n v="17"/>
    <n v="58.752383395787298"/>
    <x v="3"/>
  </r>
  <r>
    <x v="318"/>
    <x v="3"/>
    <n v="820.69969502354195"/>
    <n v="10"/>
    <n v="313.62969869939099"/>
    <x v="0"/>
  </r>
  <r>
    <x v="318"/>
    <x v="5"/>
    <n v="1111.0635669825199"/>
    <n v="1"/>
    <n v="269.12501620467901"/>
    <x v="2"/>
  </r>
  <r>
    <x v="319"/>
    <x v="0"/>
    <n v="1175.29424993059"/>
    <n v="9"/>
    <n v="213.23276520426001"/>
    <x v="0"/>
  </r>
  <r>
    <x v="319"/>
    <x v="1"/>
    <n v="1417.9543773804701"/>
    <n v="15"/>
    <n v="276.09888513491802"/>
    <x v="2"/>
  </r>
  <r>
    <x v="319"/>
    <x v="2"/>
    <n v="1251.8047342694799"/>
    <n v="15"/>
    <n v="266.12918468026299"/>
    <x v="2"/>
  </r>
  <r>
    <x v="319"/>
    <x v="3"/>
    <n v="728.70825595160204"/>
    <n v="7"/>
    <n v="124.251599950542"/>
    <x v="2"/>
  </r>
  <r>
    <x v="319"/>
    <x v="5"/>
    <n v="971.65530575665298"/>
    <n v="3"/>
    <n v="215.27911661389101"/>
    <x v="2"/>
  </r>
  <r>
    <x v="320"/>
    <x v="0"/>
    <n v="1245.6411327211699"/>
    <n v="16"/>
    <n v="498.01366535174998"/>
    <x v="2"/>
  </r>
  <r>
    <x v="320"/>
    <x v="1"/>
    <n v="1047.3872808342801"/>
    <n v="13"/>
    <n v="188.05966655288199"/>
    <x v="2"/>
  </r>
  <r>
    <x v="320"/>
    <x v="2"/>
    <n v="666.44853287894102"/>
    <n v="8"/>
    <n v="167.18704905842699"/>
    <x v="3"/>
  </r>
  <r>
    <x v="320"/>
    <x v="3"/>
    <n v="1226.70055619404"/>
    <n v="5"/>
    <n v="172.62590966900899"/>
    <x v="1"/>
  </r>
  <r>
    <x v="320"/>
    <x v="5"/>
    <n v="847.85567716835101"/>
    <n v="1"/>
    <n v="160.945846588775"/>
    <x v="2"/>
  </r>
  <r>
    <x v="321"/>
    <x v="0"/>
    <n v="945.94793303947597"/>
    <n v="18"/>
    <n v="171.704003618402"/>
    <x v="1"/>
  </r>
  <r>
    <x v="321"/>
    <x v="1"/>
    <n v="803.27087718829205"/>
    <n v="9"/>
    <n v="162.79702696444099"/>
    <x v="2"/>
  </r>
  <r>
    <x v="321"/>
    <x v="2"/>
    <n v="756.49566990262099"/>
    <n v="3"/>
    <n v="218.555440956952"/>
    <x v="0"/>
  </r>
  <r>
    <x v="321"/>
    <x v="3"/>
    <n v="1160.55049278242"/>
    <n v="3"/>
    <n v="401.84606593832802"/>
    <x v="0"/>
  </r>
  <r>
    <x v="321"/>
    <x v="5"/>
    <n v="1082.61324634162"/>
    <n v="2"/>
    <n v="131.01851407665501"/>
    <x v="0"/>
  </r>
  <r>
    <x v="322"/>
    <x v="0"/>
    <n v="1378.82274494429"/>
    <n v="15"/>
    <n v="522.06231344355103"/>
    <x v="2"/>
  </r>
  <r>
    <x v="322"/>
    <x v="1"/>
    <n v="1263.03686636618"/>
    <n v="13"/>
    <n v="445.705052840321"/>
    <x v="2"/>
  </r>
  <r>
    <x v="322"/>
    <x v="2"/>
    <n v="1047.64958191866"/>
    <n v="11"/>
    <n v="218.164532572501"/>
    <x v="2"/>
  </r>
  <r>
    <x v="322"/>
    <x v="3"/>
    <n v="812.72397382879103"/>
    <n v="5"/>
    <n v="203.189262656149"/>
    <x v="1"/>
  </r>
  <r>
    <x v="322"/>
    <x v="5"/>
    <n v="1163.7360140597"/>
    <n v="13"/>
    <n v="128.38447720891801"/>
    <x v="0"/>
  </r>
  <r>
    <x v="323"/>
    <x v="0"/>
    <n v="348.52857857186501"/>
    <n v="6"/>
    <n v="118.122335819927"/>
    <x v="2"/>
  </r>
  <r>
    <x v="323"/>
    <x v="1"/>
    <n v="706.79873223438301"/>
    <n v="2"/>
    <n v="159.181593459688"/>
    <x v="0"/>
  </r>
  <r>
    <x v="323"/>
    <x v="2"/>
    <n v="1250.89054020151"/>
    <n v="4"/>
    <n v="160.19882713620299"/>
    <x v="2"/>
  </r>
  <r>
    <x v="323"/>
    <x v="3"/>
    <n v="598.44109876714901"/>
    <n v="18"/>
    <n v="121.83025924622601"/>
    <x v="0"/>
  </r>
  <r>
    <x v="323"/>
    <x v="5"/>
    <n v="1258.96569370522"/>
    <n v="8"/>
    <n v="459.00965939999998"/>
    <x v="1"/>
  </r>
  <r>
    <x v="324"/>
    <x v="0"/>
    <n v="920.31345346583805"/>
    <n v="15"/>
    <n v="97.304520381281804"/>
    <x v="1"/>
  </r>
  <r>
    <x v="324"/>
    <x v="1"/>
    <n v="1310.95467505133"/>
    <n v="8"/>
    <n v="379.69971621093498"/>
    <x v="1"/>
  </r>
  <r>
    <x v="324"/>
    <x v="2"/>
    <n v="1343.8082725040199"/>
    <n v="10"/>
    <n v="436.95706408996801"/>
    <x v="3"/>
  </r>
  <r>
    <x v="324"/>
    <x v="3"/>
    <n v="148.748067580786"/>
    <n v="9"/>
    <n v="21.368431927739302"/>
    <x v="0"/>
  </r>
  <r>
    <x v="324"/>
    <x v="5"/>
    <n v="733.80116234326795"/>
    <n v="7"/>
    <n v="202.91757469547699"/>
    <x v="3"/>
  </r>
  <r>
    <x v="325"/>
    <x v="0"/>
    <n v="1231.5388531706899"/>
    <n v="8"/>
    <n v="210.61302432358499"/>
    <x v="3"/>
  </r>
  <r>
    <x v="325"/>
    <x v="1"/>
    <n v="1039.09802252348"/>
    <n v="5"/>
    <n v="184.429641789383"/>
    <x v="0"/>
  </r>
  <r>
    <x v="325"/>
    <x v="2"/>
    <n v="784.71538112800602"/>
    <n v="1"/>
    <n v="205.88692362894599"/>
    <x v="0"/>
  </r>
  <r>
    <x v="325"/>
    <x v="3"/>
    <n v="565.92037905914196"/>
    <n v="16"/>
    <n v="175.788887620541"/>
    <x v="0"/>
  </r>
  <r>
    <x v="325"/>
    <x v="5"/>
    <n v="982.24042767741901"/>
    <n v="16"/>
    <n v="241.400988455538"/>
    <x v="2"/>
  </r>
  <r>
    <x v="326"/>
    <x v="0"/>
    <n v="1211.91652009066"/>
    <n v="18"/>
    <n v="285.21124729836401"/>
    <x v="3"/>
  </r>
  <r>
    <x v="326"/>
    <x v="1"/>
    <n v="879.95774746425195"/>
    <n v="18"/>
    <n v="242.754515443635"/>
    <x v="3"/>
  </r>
  <r>
    <x v="326"/>
    <x v="2"/>
    <n v="784.33287540000003"/>
    <n v="6"/>
    <n v="274.13797904092303"/>
    <x v="2"/>
  </r>
  <r>
    <x v="326"/>
    <x v="3"/>
    <n v="1061.2206106824899"/>
    <n v="6"/>
    <n v="261.11170078037298"/>
    <x v="3"/>
  </r>
  <r>
    <x v="326"/>
    <x v="5"/>
    <n v="1211.0320399416601"/>
    <n v="16"/>
    <n v="257.64266524673201"/>
    <x v="2"/>
  </r>
  <r>
    <x v="327"/>
    <x v="0"/>
    <n v="1646.47860321494"/>
    <n v="13"/>
    <n v="391.22230776104499"/>
    <x v="2"/>
  </r>
  <r>
    <x v="327"/>
    <x v="1"/>
    <n v="792.58461544653301"/>
    <n v="15"/>
    <n v="190.608814802506"/>
    <x v="0"/>
  </r>
  <r>
    <x v="327"/>
    <x v="2"/>
    <n v="1206.26930559824"/>
    <n v="13"/>
    <n v="458.47176507600699"/>
    <x v="2"/>
  </r>
  <r>
    <x v="327"/>
    <x v="3"/>
    <n v="1167.58795982635"/>
    <n v="10"/>
    <n v="461.63248462583198"/>
    <x v="2"/>
  </r>
  <r>
    <x v="327"/>
    <x v="5"/>
    <n v="213.33425363771701"/>
    <n v="16"/>
    <n v="61.725089390000001"/>
    <x v="1"/>
  </r>
  <r>
    <x v="328"/>
    <x v="0"/>
    <n v="1144.07815042177"/>
    <n v="11"/>
    <n v="213.74916242235301"/>
    <x v="3"/>
  </r>
  <r>
    <x v="328"/>
    <x v="1"/>
    <n v="683.46769735586497"/>
    <n v="5"/>
    <n v="267.81903683722697"/>
    <x v="3"/>
  </r>
  <r>
    <x v="328"/>
    <x v="2"/>
    <n v="1258.4309576898399"/>
    <n v="13"/>
    <n v="318.065139634491"/>
    <x v="0"/>
  </r>
  <r>
    <x v="328"/>
    <x v="3"/>
    <n v="1075.39499447143"/>
    <n v="13"/>
    <n v="238.81246035986999"/>
    <x v="3"/>
  </r>
  <r>
    <x v="328"/>
    <x v="5"/>
    <n v="1441.3104072451299"/>
    <n v="14"/>
    <n v="509.780864963358"/>
    <x v="3"/>
  </r>
  <r>
    <x v="329"/>
    <x v="0"/>
    <n v="790.15143394970698"/>
    <n v="15"/>
    <n v="176.47098593071701"/>
    <x v="2"/>
  </r>
  <r>
    <x v="329"/>
    <x v="1"/>
    <n v="938.85306249999996"/>
    <n v="17"/>
    <n v="365.85503044751903"/>
    <x v="3"/>
  </r>
  <r>
    <x v="329"/>
    <x v="2"/>
    <n v="1194.1295179917399"/>
    <n v="19"/>
    <n v="240.67926882874201"/>
    <x v="1"/>
  </r>
  <r>
    <x v="329"/>
    <x v="3"/>
    <n v="1087.8677707464101"/>
    <n v="14"/>
    <n v="350.95347024570799"/>
    <x v="3"/>
  </r>
  <r>
    <x v="329"/>
    <x v="5"/>
    <n v="983.15646040443801"/>
    <n v="1"/>
    <n v="134.182744944603"/>
    <x v="2"/>
  </r>
  <r>
    <x v="330"/>
    <x v="0"/>
    <n v="702.14019967433603"/>
    <n v="1"/>
    <n v="154.54596454051199"/>
    <x v="2"/>
  </r>
  <r>
    <x v="330"/>
    <x v="1"/>
    <n v="566.43842067633204"/>
    <n v="6"/>
    <n v="145.04765309560801"/>
    <x v="3"/>
  </r>
  <r>
    <x v="330"/>
    <x v="2"/>
    <n v="1286.5807711621601"/>
    <n v="8"/>
    <n v="260.45646886098802"/>
    <x v="1"/>
  </r>
  <r>
    <x v="330"/>
    <x v="3"/>
    <n v="988.37713150313698"/>
    <n v="12"/>
    <n v="340.113500136038"/>
    <x v="2"/>
  </r>
  <r>
    <x v="330"/>
    <x v="5"/>
    <n v="1169.8919616200701"/>
    <n v="5"/>
    <n v="218.471591755307"/>
    <x v="1"/>
  </r>
  <r>
    <x v="331"/>
    <x v="0"/>
    <n v="833.46587910168603"/>
    <n v="5"/>
    <n v="95.813607135384103"/>
    <x v="0"/>
  </r>
  <r>
    <x v="331"/>
    <x v="1"/>
    <n v="1114.4083844075301"/>
    <n v="7"/>
    <n v="327.12903705027702"/>
    <x v="0"/>
  </r>
  <r>
    <x v="331"/>
    <x v="2"/>
    <n v="969.73438733617797"/>
    <n v="19"/>
    <n v="376.36364447548198"/>
    <x v="1"/>
  </r>
  <r>
    <x v="331"/>
    <x v="3"/>
    <n v="489.25545948802301"/>
    <n v="8"/>
    <n v="132.12712092259099"/>
    <x v="1"/>
  </r>
  <r>
    <x v="331"/>
    <x v="5"/>
    <n v="1005.54582119692"/>
    <n v="2"/>
    <n v="301.44669911673702"/>
    <x v="0"/>
  </r>
  <r>
    <x v="332"/>
    <x v="0"/>
    <n v="1113.9514607185499"/>
    <n v="6"/>
    <n v="334.407732688257"/>
    <x v="0"/>
  </r>
  <r>
    <x v="332"/>
    <x v="1"/>
    <n v="960.20127509999998"/>
    <n v="2"/>
    <n v="316.54284343151602"/>
    <x v="2"/>
  </r>
  <r>
    <x v="332"/>
    <x v="2"/>
    <n v="643.31097413951102"/>
    <n v="1"/>
    <n v="167.876940949866"/>
    <x v="0"/>
  </r>
  <r>
    <x v="332"/>
    <x v="3"/>
    <n v="985.03595376156397"/>
    <n v="13"/>
    <n v="161.45783021616899"/>
    <x v="3"/>
  </r>
  <r>
    <x v="332"/>
    <x v="5"/>
    <n v="762.73546249162996"/>
    <n v="7"/>
    <n v="134.21068188199999"/>
    <x v="1"/>
  </r>
  <r>
    <x v="333"/>
    <x v="0"/>
    <n v="1010.2024288684401"/>
    <n v="3"/>
    <n v="289.61583717263898"/>
    <x v="3"/>
  </r>
  <r>
    <x v="333"/>
    <x v="1"/>
    <n v="70.098843169999995"/>
    <n v="1"/>
    <n v="9.7956962450000002"/>
    <x v="2"/>
  </r>
  <r>
    <x v="333"/>
    <x v="2"/>
    <n v="1038.59588438626"/>
    <n v="16"/>
    <n v="131.7375136"/>
    <x v="3"/>
  </r>
  <r>
    <x v="333"/>
    <x v="3"/>
    <n v="961.69657830832102"/>
    <n v="12"/>
    <n v="133.359210330916"/>
    <x v="2"/>
  </r>
  <r>
    <x v="333"/>
    <x v="5"/>
    <n v="1024.0752969135301"/>
    <n v="18"/>
    <n v="293.84955446981201"/>
    <x v="1"/>
  </r>
  <r>
    <x v="334"/>
    <x v="0"/>
    <n v="1086.9472949651399"/>
    <n v="17"/>
    <n v="317.12833931416998"/>
    <x v="2"/>
  </r>
  <r>
    <x v="334"/>
    <x v="1"/>
    <n v="1178.03012788723"/>
    <n v="16"/>
    <n v="370.01700716351797"/>
    <x v="3"/>
  </r>
  <r>
    <x v="334"/>
    <x v="2"/>
    <n v="859.24774016139702"/>
    <n v="4"/>
    <n v="238.933232807503"/>
    <x v="3"/>
  </r>
  <r>
    <x v="334"/>
    <x v="3"/>
    <n v="1370.27434462824"/>
    <n v="16"/>
    <n v="322.54278458208302"/>
    <x v="2"/>
  </r>
  <r>
    <x v="334"/>
    <x v="5"/>
    <n v="1308.82393028659"/>
    <n v="14"/>
    <n v="359.136451567086"/>
    <x v="0"/>
  </r>
  <r>
    <x v="335"/>
    <x v="0"/>
    <n v="1239.0105781212201"/>
    <n v="17"/>
    <n v="300.290698702356"/>
    <x v="1"/>
  </r>
  <r>
    <x v="335"/>
    <x v="1"/>
    <n v="1015.11156900189"/>
    <n v="19"/>
    <n v="344.18217656430397"/>
    <x v="3"/>
  </r>
  <r>
    <x v="335"/>
    <x v="2"/>
    <n v="1190.65905994986"/>
    <n v="13"/>
    <n v="406.77662421091298"/>
    <x v="2"/>
  </r>
  <r>
    <x v="335"/>
    <x v="3"/>
    <n v="1083.72515750355"/>
    <n v="18"/>
    <n v="299.50987764335702"/>
    <x v="3"/>
  </r>
  <r>
    <x v="335"/>
    <x v="5"/>
    <n v="1087.4691030045899"/>
    <n v="17"/>
    <n v="408.16173125154103"/>
    <x v="2"/>
  </r>
  <r>
    <x v="336"/>
    <x v="0"/>
    <n v="979.93271749999997"/>
    <n v="4"/>
    <n v="385.602781852833"/>
    <x v="3"/>
  </r>
  <r>
    <x v="336"/>
    <x v="1"/>
    <n v="1436.39694364876"/>
    <n v="11"/>
    <n v="275.112971661605"/>
    <x v="2"/>
  </r>
  <r>
    <x v="336"/>
    <x v="2"/>
    <n v="939.77952459940195"/>
    <n v="17"/>
    <n v="103.89053551148"/>
    <x v="3"/>
  </r>
  <r>
    <x v="336"/>
    <x v="3"/>
    <n v="623.16121161686499"/>
    <n v="3"/>
    <n v="164.036337965277"/>
    <x v="3"/>
  </r>
  <r>
    <x v="336"/>
    <x v="5"/>
    <n v="928.80240886104195"/>
    <n v="18"/>
    <n v="184.48620040911501"/>
    <x v="3"/>
  </r>
  <r>
    <x v="337"/>
    <x v="0"/>
    <n v="852.313602841224"/>
    <n v="17"/>
    <n v="132.39034681739699"/>
    <x v="2"/>
  </r>
  <r>
    <x v="337"/>
    <x v="1"/>
    <n v="1474.7664907937501"/>
    <n v="2"/>
    <n v="181.376694350044"/>
    <x v="0"/>
  </r>
  <r>
    <x v="337"/>
    <x v="2"/>
    <n v="922.73452865640797"/>
    <n v="6"/>
    <n v="208.24263005923299"/>
    <x v="2"/>
  </r>
  <r>
    <x v="337"/>
    <x v="3"/>
    <n v="1300.3948735629799"/>
    <n v="5"/>
    <n v="210.00567042240499"/>
    <x v="2"/>
  </r>
  <r>
    <x v="337"/>
    <x v="5"/>
    <n v="711.55060048857899"/>
    <n v="15"/>
    <n v="82.314828246025002"/>
    <x v="2"/>
  </r>
  <r>
    <x v="338"/>
    <x v="0"/>
    <n v="1166.29219328728"/>
    <n v="7"/>
    <n v="239.97484993901199"/>
    <x v="2"/>
  </r>
  <r>
    <x v="338"/>
    <x v="1"/>
    <n v="1288.7249224849199"/>
    <n v="10"/>
    <n v="232.30311764431701"/>
    <x v="2"/>
  </r>
  <r>
    <x v="338"/>
    <x v="2"/>
    <n v="746.29806865176602"/>
    <n v="16"/>
    <n v="102.322879742059"/>
    <x v="1"/>
  </r>
  <r>
    <x v="338"/>
    <x v="3"/>
    <n v="995.77031022799804"/>
    <n v="18"/>
    <n v="137.583060562996"/>
    <x v="0"/>
  </r>
  <r>
    <x v="338"/>
    <x v="5"/>
    <n v="1301.978715"/>
    <n v="8"/>
    <n v="233.72364942780999"/>
    <x v="2"/>
  </r>
  <r>
    <x v="339"/>
    <x v="0"/>
    <n v="1384.6407221080301"/>
    <n v="19"/>
    <n v="222.40692019093601"/>
    <x v="3"/>
  </r>
  <r>
    <x v="339"/>
    <x v="1"/>
    <n v="1176.3567664413199"/>
    <n v="4"/>
    <n v="374.38839634554802"/>
    <x v="1"/>
  </r>
  <r>
    <x v="339"/>
    <x v="2"/>
    <n v="1185.9216354108601"/>
    <n v="12"/>
    <n v="327.833591157304"/>
    <x v="1"/>
  </r>
  <r>
    <x v="339"/>
    <x v="3"/>
    <n v="1405.2556992097"/>
    <n v="18"/>
    <n v="222.731652939583"/>
    <x v="3"/>
  </r>
  <r>
    <x v="339"/>
    <x v="5"/>
    <n v="803.89625780877395"/>
    <n v="2"/>
    <n v="230.04862390480801"/>
    <x v="3"/>
  </r>
  <r>
    <x v="340"/>
    <x v="0"/>
    <n v="1205.6769238895199"/>
    <n v="19"/>
    <n v="289.25681833369299"/>
    <x v="3"/>
  </r>
  <r>
    <x v="340"/>
    <x v="1"/>
    <n v="957.50542419696103"/>
    <n v="2"/>
    <n v="126.88872587803699"/>
    <x v="0"/>
  </r>
  <r>
    <x v="340"/>
    <x v="2"/>
    <n v="1096.41289572443"/>
    <n v="18"/>
    <n v="118.677013270055"/>
    <x v="2"/>
  </r>
  <r>
    <x v="340"/>
    <x v="3"/>
    <n v="856.43850987311305"/>
    <n v="3"/>
    <n v="340.92543391883402"/>
    <x v="1"/>
  </r>
  <r>
    <x v="340"/>
    <x v="5"/>
    <n v="1354.47031492574"/>
    <n v="7"/>
    <n v="161.00892414856901"/>
    <x v="3"/>
  </r>
  <r>
    <x v="341"/>
    <x v="0"/>
    <n v="1703.0962158437801"/>
    <n v="11"/>
    <n v="186.899876102501"/>
    <x v="0"/>
  </r>
  <r>
    <x v="341"/>
    <x v="1"/>
    <n v="975.20605959200702"/>
    <n v="12"/>
    <n v="102.15824973926701"/>
    <x v="1"/>
  </r>
  <r>
    <x v="341"/>
    <x v="2"/>
    <n v="1629.92751949796"/>
    <n v="13"/>
    <n v="597.57047363363495"/>
    <x v="3"/>
  </r>
  <r>
    <x v="341"/>
    <x v="3"/>
    <n v="227.94272689055799"/>
    <n v="19"/>
    <n v="61.534381338193803"/>
    <x v="0"/>
  </r>
  <r>
    <x v="341"/>
    <x v="5"/>
    <n v="907.86993829999994"/>
    <n v="18"/>
    <n v="105.17470614229801"/>
    <x v="1"/>
  </r>
  <r>
    <x v="342"/>
    <x v="0"/>
    <n v="750.25264653081001"/>
    <n v="2"/>
    <n v="274.34325951622202"/>
    <x v="2"/>
  </r>
  <r>
    <x v="342"/>
    <x v="1"/>
    <n v="578.05779878966098"/>
    <n v="3"/>
    <n v="210.830833463207"/>
    <x v="3"/>
  </r>
  <r>
    <x v="342"/>
    <x v="2"/>
    <n v="817.59815711880196"/>
    <n v="17"/>
    <n v="204.180911433125"/>
    <x v="2"/>
  </r>
  <r>
    <x v="342"/>
    <x v="3"/>
    <n v="695.656081987775"/>
    <n v="14"/>
    <n v="74.153143148410507"/>
    <x v="0"/>
  </r>
  <r>
    <x v="342"/>
    <x v="5"/>
    <n v="933.367011420224"/>
    <n v="5"/>
    <n v="121.60137615406499"/>
    <x v="2"/>
  </r>
  <r>
    <x v="343"/>
    <x v="0"/>
    <n v="887.60380965650495"/>
    <n v="2"/>
    <n v="355.00138049999998"/>
    <x v="1"/>
  </r>
  <r>
    <x v="343"/>
    <x v="1"/>
    <n v="744.28397017776797"/>
    <n v="1"/>
    <n v="279.991026412314"/>
    <x v="3"/>
  </r>
  <r>
    <x v="343"/>
    <x v="2"/>
    <n v="1142.6096832076"/>
    <n v="11"/>
    <n v="139.12037880101201"/>
    <x v="3"/>
  </r>
  <r>
    <x v="343"/>
    <x v="3"/>
    <n v="485.66378388245198"/>
    <n v="10"/>
    <n v="86.237948091189693"/>
    <x v="2"/>
  </r>
  <r>
    <x v="343"/>
    <x v="5"/>
    <n v="1047.05327310744"/>
    <n v="14"/>
    <n v="231.061752147416"/>
    <x v="3"/>
  </r>
  <r>
    <x v="344"/>
    <x v="0"/>
    <n v="1212.4493364400701"/>
    <n v="8"/>
    <n v="209.82466551493499"/>
    <x v="3"/>
  </r>
  <r>
    <x v="344"/>
    <x v="1"/>
    <n v="1099.34395275631"/>
    <n v="5"/>
    <n v="144.50955869270899"/>
    <x v="2"/>
  </r>
  <r>
    <x v="344"/>
    <x v="2"/>
    <n v="882.43697038393998"/>
    <n v="15"/>
    <n v="92.296885341748194"/>
    <x v="0"/>
  </r>
  <r>
    <x v="344"/>
    <x v="3"/>
    <n v="694.67070727691396"/>
    <n v="2"/>
    <n v="144.82647422181299"/>
    <x v="3"/>
  </r>
  <r>
    <x v="344"/>
    <x v="5"/>
    <n v="851.04047935540905"/>
    <n v="14"/>
    <n v="130.151263987074"/>
    <x v="2"/>
  </r>
  <r>
    <x v="345"/>
    <x v="0"/>
    <n v="653.952272204564"/>
    <n v="4"/>
    <n v="79.2077512360094"/>
    <x v="3"/>
  </r>
  <r>
    <x v="345"/>
    <x v="1"/>
    <n v="1399.6228578150301"/>
    <n v="5"/>
    <n v="372.62129128376"/>
    <x v="1"/>
  </r>
  <r>
    <x v="345"/>
    <x v="2"/>
    <n v="441.68802120036497"/>
    <n v="15"/>
    <n v="94.3494228446107"/>
    <x v="3"/>
  </r>
  <r>
    <x v="345"/>
    <x v="3"/>
    <n v="870.90524660636504"/>
    <n v="8"/>
    <n v="313.56633858780498"/>
    <x v="1"/>
  </r>
  <r>
    <x v="345"/>
    <x v="5"/>
    <n v="698.30620408241498"/>
    <n v="7"/>
    <n v="89.700754439999997"/>
    <x v="2"/>
  </r>
  <r>
    <x v="346"/>
    <x v="0"/>
    <n v="1000.67162527729"/>
    <n v="19"/>
    <n v="282.20426889994502"/>
    <x v="3"/>
  </r>
  <r>
    <x v="346"/>
    <x v="1"/>
    <n v="1529.89318211676"/>
    <n v="13"/>
    <n v="518.97979883821301"/>
    <x v="3"/>
  </r>
  <r>
    <x v="346"/>
    <x v="2"/>
    <n v="1036.2585637079101"/>
    <n v="7"/>
    <n v="157.711527414622"/>
    <x v="3"/>
  </r>
  <r>
    <x v="346"/>
    <x v="3"/>
    <n v="739.36247585214801"/>
    <n v="8"/>
    <n v="99.578582730452894"/>
    <x v="3"/>
  </r>
  <r>
    <x v="346"/>
    <x v="5"/>
    <n v="1643.51092623061"/>
    <n v="15"/>
    <n v="652.84304063937805"/>
    <x v="3"/>
  </r>
  <r>
    <x v="347"/>
    <x v="0"/>
    <n v="1268.4031427314301"/>
    <n v="10"/>
    <n v="306.823140931887"/>
    <x v="2"/>
  </r>
  <r>
    <x v="347"/>
    <x v="1"/>
    <n v="1000.9443180718901"/>
    <n v="6"/>
    <n v="129.33503692111401"/>
    <x v="3"/>
  </r>
  <r>
    <x v="347"/>
    <x v="2"/>
    <n v="1368.9971105315999"/>
    <n v="12"/>
    <n v="399.01792507155602"/>
    <x v="2"/>
  </r>
  <r>
    <x v="347"/>
    <x v="3"/>
    <n v="1359.33775664271"/>
    <n v="1"/>
    <n v="476.668187989069"/>
    <x v="3"/>
  </r>
  <r>
    <x v="347"/>
    <x v="5"/>
    <n v="1373.4143730455201"/>
    <n v="8"/>
    <n v="242.68213705240601"/>
    <x v="3"/>
  </r>
  <r>
    <x v="348"/>
    <x v="0"/>
    <n v="1321.3071839082299"/>
    <n v="8"/>
    <n v="450.77447115768899"/>
    <x v="3"/>
  </r>
  <r>
    <x v="348"/>
    <x v="1"/>
    <n v="1098.1867807850199"/>
    <n v="1"/>
    <n v="344.92093096891"/>
    <x v="0"/>
  </r>
  <r>
    <x v="348"/>
    <x v="2"/>
    <n v="664.00257091851495"/>
    <n v="17"/>
    <n v="152.4781447"/>
    <x v="0"/>
  </r>
  <r>
    <x v="348"/>
    <x v="3"/>
    <n v="947.911290028704"/>
    <n v="10"/>
    <n v="223.389068675234"/>
    <x v="3"/>
  </r>
  <r>
    <x v="348"/>
    <x v="5"/>
    <n v="676.90733610084703"/>
    <n v="14"/>
    <n v="214.82830285193299"/>
    <x v="2"/>
  </r>
  <r>
    <x v="349"/>
    <x v="0"/>
    <n v="1310.7653984660701"/>
    <n v="11"/>
    <n v="407.59552367435703"/>
    <x v="1"/>
  </r>
  <r>
    <x v="349"/>
    <x v="1"/>
    <n v="1458.6243551622699"/>
    <n v="6"/>
    <n v="393.36335979792602"/>
    <x v="0"/>
  </r>
  <r>
    <x v="349"/>
    <x v="2"/>
    <n v="975.68621058347605"/>
    <n v="8"/>
    <n v="203.78157323861601"/>
    <x v="1"/>
  </r>
  <r>
    <x v="349"/>
    <x v="3"/>
    <n v="846.79041594706996"/>
    <n v="15"/>
    <n v="207.59489680882999"/>
    <x v="2"/>
  </r>
  <r>
    <x v="349"/>
    <x v="5"/>
    <n v="1342.25896468322"/>
    <n v="16"/>
    <n v="261.655094148442"/>
    <x v="0"/>
  </r>
  <r>
    <x v="350"/>
    <x v="0"/>
    <n v="1043.47239079927"/>
    <n v="5"/>
    <n v="113.51918706319"/>
    <x v="3"/>
  </r>
  <r>
    <x v="350"/>
    <x v="1"/>
    <n v="1084.2889963495199"/>
    <n v="19"/>
    <n v="274.16535906878698"/>
    <x v="0"/>
  </r>
  <r>
    <x v="350"/>
    <x v="2"/>
    <n v="959.91881871904798"/>
    <n v="8"/>
    <n v="151.66887249418301"/>
    <x v="0"/>
  </r>
  <r>
    <x v="350"/>
    <x v="3"/>
    <n v="769.81138764382695"/>
    <n v="9"/>
    <n v="171.36761191274601"/>
    <x v="3"/>
  </r>
  <r>
    <x v="350"/>
    <x v="5"/>
    <n v="893.51613093790797"/>
    <n v="11"/>
    <n v="192.91946199744001"/>
    <x v="3"/>
  </r>
  <r>
    <x v="351"/>
    <x v="0"/>
    <n v="1150.68736761471"/>
    <n v="7"/>
    <n v="260.57701466835101"/>
    <x v="2"/>
  </r>
  <r>
    <x v="351"/>
    <x v="1"/>
    <n v="787.92856625872002"/>
    <n v="4"/>
    <n v="291.60737625980403"/>
    <x v="3"/>
  </r>
  <r>
    <x v="351"/>
    <x v="2"/>
    <n v="1156.45075767095"/>
    <n v="3"/>
    <n v="339.50074464355203"/>
    <x v="1"/>
  </r>
  <r>
    <x v="351"/>
    <x v="3"/>
    <n v="1347.92948858553"/>
    <n v="16"/>
    <n v="485.87590723549602"/>
    <x v="0"/>
  </r>
  <r>
    <x v="351"/>
    <x v="5"/>
    <n v="1154.1037525074601"/>
    <n v="11"/>
    <n v="357.03275047592399"/>
    <x v="2"/>
  </r>
  <r>
    <x v="352"/>
    <x v="0"/>
    <n v="833.36656214049901"/>
    <n v="7"/>
    <n v="313.53854745817"/>
    <x v="3"/>
  </r>
  <r>
    <x v="352"/>
    <x v="1"/>
    <n v="1006.55972265466"/>
    <n v="8"/>
    <n v="389.04225379341801"/>
    <x v="2"/>
  </r>
  <r>
    <x v="352"/>
    <x v="2"/>
    <n v="1046.59749975982"/>
    <n v="4"/>
    <n v="371.06555782818299"/>
    <x v="3"/>
  </r>
  <r>
    <x v="352"/>
    <x v="3"/>
    <n v="1119.44417953676"/>
    <n v="17"/>
    <n v="293.830674818212"/>
    <x v="1"/>
  </r>
  <r>
    <x v="352"/>
    <x v="5"/>
    <n v="1683.1259494159899"/>
    <n v="15"/>
    <n v="251.25895180204901"/>
    <x v="1"/>
  </r>
  <r>
    <x v="353"/>
    <x v="0"/>
    <n v="629.64640047328101"/>
    <n v="1"/>
    <n v="219.78491738458101"/>
    <x v="3"/>
  </r>
  <r>
    <x v="353"/>
    <x v="1"/>
    <n v="635.67469786672996"/>
    <n v="16"/>
    <n v="192.761363693356"/>
    <x v="0"/>
  </r>
  <r>
    <x v="353"/>
    <x v="2"/>
    <n v="1136.8716392101901"/>
    <n v="13"/>
    <n v="358.60401390594501"/>
    <x v="0"/>
  </r>
  <r>
    <x v="353"/>
    <x v="3"/>
    <n v="1069.7459859999999"/>
    <n v="11"/>
    <n v="115.9094544"/>
    <x v="1"/>
  </r>
  <r>
    <x v="353"/>
    <x v="5"/>
    <n v="1270.44895994281"/>
    <n v="15"/>
    <n v="302.22002098832399"/>
    <x v="2"/>
  </r>
  <r>
    <x v="354"/>
    <x v="0"/>
    <n v="1076.65532699241"/>
    <n v="7"/>
    <n v="198.02929963599601"/>
    <x v="2"/>
  </r>
  <r>
    <x v="354"/>
    <x v="1"/>
    <n v="1001.30225951485"/>
    <n v="8"/>
    <n v="224.391492985664"/>
    <x v="1"/>
  </r>
  <r>
    <x v="354"/>
    <x v="2"/>
    <n v="710.47009877902599"/>
    <n v="12"/>
    <n v="130.277010597003"/>
    <x v="2"/>
  </r>
  <r>
    <x v="354"/>
    <x v="3"/>
    <n v="1107.7234892029401"/>
    <n v="16"/>
    <n v="258.203393969057"/>
    <x v="3"/>
  </r>
  <r>
    <x v="354"/>
    <x v="5"/>
    <n v="1128.7534359624899"/>
    <n v="18"/>
    <n v="408.61815237612097"/>
    <x v="0"/>
  </r>
  <r>
    <x v="355"/>
    <x v="0"/>
    <n v="1249.4912676854699"/>
    <n v="16"/>
    <n v="458.03823918189198"/>
    <x v="3"/>
  </r>
  <r>
    <x v="355"/>
    <x v="1"/>
    <n v="980.81545219580505"/>
    <n v="9"/>
    <n v="318.207624901374"/>
    <x v="1"/>
  </r>
  <r>
    <x v="355"/>
    <x v="2"/>
    <n v="894.05378861632505"/>
    <n v="12"/>
    <n v="144.448717825263"/>
    <x v="1"/>
  </r>
  <r>
    <x v="355"/>
    <x v="3"/>
    <n v="618.88615863747805"/>
    <n v="10"/>
    <n v="226.37409614171301"/>
    <x v="3"/>
  </r>
  <r>
    <x v="355"/>
    <x v="5"/>
    <n v="868.31980829679901"/>
    <n v="7"/>
    <n v="285.31279415367601"/>
    <x v="3"/>
  </r>
  <r>
    <x v="356"/>
    <x v="0"/>
    <n v="1165.8273234954099"/>
    <n v="3"/>
    <n v="234.219043853324"/>
    <x v="3"/>
  </r>
  <r>
    <x v="356"/>
    <x v="1"/>
    <n v="901.30949980000003"/>
    <n v="5"/>
    <n v="346.345784990808"/>
    <x v="3"/>
  </r>
  <r>
    <x v="356"/>
    <x v="2"/>
    <n v="988.74975310000002"/>
    <n v="11"/>
    <n v="173.667157530498"/>
    <x v="0"/>
  </r>
  <r>
    <x v="356"/>
    <x v="3"/>
    <n v="1450.41703214786"/>
    <n v="12"/>
    <n v="177.908125238482"/>
    <x v="2"/>
  </r>
  <r>
    <x v="356"/>
    <x v="5"/>
    <n v="1522.7128254107599"/>
    <n v="9"/>
    <n v="588.26482507880496"/>
    <x v="0"/>
  </r>
  <r>
    <x v="357"/>
    <x v="0"/>
    <n v="1616.3465320985699"/>
    <n v="16"/>
    <n v="504.91800643596599"/>
    <x v="2"/>
  </r>
  <r>
    <x v="357"/>
    <x v="1"/>
    <n v="1025.9290567262599"/>
    <n v="18"/>
    <n v="410.20785185085703"/>
    <x v="2"/>
  </r>
  <r>
    <x v="357"/>
    <x v="2"/>
    <n v="872.76885532477002"/>
    <n v="8"/>
    <n v="200.12272321583899"/>
    <x v="1"/>
  </r>
  <r>
    <x v="357"/>
    <x v="3"/>
    <n v="1361.3783738105101"/>
    <n v="7"/>
    <n v="174.80683324630701"/>
    <x v="2"/>
  </r>
  <r>
    <x v="357"/>
    <x v="5"/>
    <n v="1054.7614290648"/>
    <n v="14"/>
    <n v="295.52515485866002"/>
    <x v="2"/>
  </r>
  <r>
    <x v="358"/>
    <x v="0"/>
    <n v="582.41248571448"/>
    <n v="6"/>
    <n v="177.96221314303301"/>
    <x v="0"/>
  </r>
  <r>
    <x v="358"/>
    <x v="1"/>
    <n v="1511.2306234177299"/>
    <n v="12"/>
    <n v="464.4491688"/>
    <x v="2"/>
  </r>
  <r>
    <x v="358"/>
    <x v="2"/>
    <n v="769.94078859863396"/>
    <n v="17"/>
    <n v="254.00761164864201"/>
    <x v="1"/>
  </r>
  <r>
    <x v="358"/>
    <x v="3"/>
    <n v="1020.42168077458"/>
    <n v="10"/>
    <n v="239.51849718621199"/>
    <x v="2"/>
  </r>
  <r>
    <x v="358"/>
    <x v="5"/>
    <n v="1009.74995886635"/>
    <n v="8"/>
    <n v="264.57851781528802"/>
    <x v="3"/>
  </r>
  <r>
    <x v="359"/>
    <x v="0"/>
    <n v="1241.6781504985499"/>
    <n v="8"/>
    <n v="344.87367727171801"/>
    <x v="2"/>
  </r>
  <r>
    <x v="359"/>
    <x v="1"/>
    <n v="651.45667709156805"/>
    <n v="15"/>
    <n v="103.224709486164"/>
    <x v="3"/>
  </r>
  <r>
    <x v="359"/>
    <x v="2"/>
    <n v="481.14928011020498"/>
    <n v="16"/>
    <n v="185.31515933125999"/>
    <x v="3"/>
  </r>
  <r>
    <x v="359"/>
    <x v="3"/>
    <n v="905.80147110761402"/>
    <n v="17"/>
    <n v="254.65505744892801"/>
    <x v="2"/>
  </r>
  <r>
    <x v="359"/>
    <x v="5"/>
    <n v="1094.3120602597401"/>
    <n v="7"/>
    <n v="244.299606892535"/>
    <x v="0"/>
  </r>
  <r>
    <x v="360"/>
    <x v="0"/>
    <n v="680.96098986329798"/>
    <n v="7"/>
    <n v="113.403053693863"/>
    <x v="0"/>
  </r>
  <r>
    <x v="360"/>
    <x v="1"/>
    <n v="369.12948069999999"/>
    <n v="7"/>
    <n v="45.779076727529997"/>
    <x v="2"/>
  </r>
  <r>
    <x v="360"/>
    <x v="2"/>
    <n v="616.94326706767504"/>
    <n v="13"/>
    <n v="219.850590143928"/>
    <x v="2"/>
  </r>
  <r>
    <x v="360"/>
    <x v="3"/>
    <n v="1284.55256297905"/>
    <n v="5"/>
    <n v="148.622548089981"/>
    <x v="3"/>
  </r>
  <r>
    <x v="360"/>
    <x v="5"/>
    <n v="1404.51591159644"/>
    <n v="7"/>
    <n v="553.699993631192"/>
    <x v="1"/>
  </r>
  <r>
    <x v="361"/>
    <x v="0"/>
    <n v="1213.60951629651"/>
    <n v="2"/>
    <n v="203.52155727456901"/>
    <x v="1"/>
  </r>
  <r>
    <x v="361"/>
    <x v="1"/>
    <n v="1171.44842093906"/>
    <n v="7"/>
    <n v="140.57140780987999"/>
    <x v="0"/>
  </r>
  <r>
    <x v="361"/>
    <x v="2"/>
    <n v="989.44677504893195"/>
    <n v="12"/>
    <n v="317.25528246601903"/>
    <x v="1"/>
  </r>
  <r>
    <x v="361"/>
    <x v="3"/>
    <n v="1310.1643164772599"/>
    <n v="2"/>
    <n v="222.44121566635499"/>
    <x v="1"/>
  </r>
  <r>
    <x v="361"/>
    <x v="5"/>
    <n v="877.76196781251895"/>
    <n v="6"/>
    <n v="90.172008032610606"/>
    <x v="1"/>
  </r>
  <r>
    <x v="362"/>
    <x v="0"/>
    <n v="782.92602290797095"/>
    <n v="2"/>
    <n v="220.857116671797"/>
    <x v="2"/>
  </r>
  <r>
    <x v="362"/>
    <x v="1"/>
    <n v="999.84324289959102"/>
    <n v="6"/>
    <n v="341.43651917442298"/>
    <x v="0"/>
  </r>
  <r>
    <x v="362"/>
    <x v="2"/>
    <n v="1073.0181417722999"/>
    <n v="9"/>
    <n v="135.02305883889301"/>
    <x v="1"/>
  </r>
  <r>
    <x v="362"/>
    <x v="3"/>
    <n v="371.96831343800199"/>
    <n v="1"/>
    <n v="93.302684010279293"/>
    <x v="2"/>
  </r>
  <r>
    <x v="362"/>
    <x v="5"/>
    <n v="1257.5455515758699"/>
    <n v="1"/>
    <n v="322.62238393208298"/>
    <x v="3"/>
  </r>
  <r>
    <x v="363"/>
    <x v="0"/>
    <n v="1250.68240753599"/>
    <n v="1"/>
    <n v="128.25582196536101"/>
    <x v="2"/>
  </r>
  <r>
    <x v="363"/>
    <x v="1"/>
    <n v="1188.63057372721"/>
    <n v="17"/>
    <n v="234.22843154506"/>
    <x v="0"/>
  </r>
  <r>
    <x v="363"/>
    <x v="2"/>
    <n v="892.78867107502106"/>
    <n v="2"/>
    <n v="243.80347756436601"/>
    <x v="0"/>
  </r>
  <r>
    <x v="363"/>
    <x v="3"/>
    <n v="1147.2673636424699"/>
    <n v="13"/>
    <n v="340.50941977387498"/>
    <x v="1"/>
  </r>
  <r>
    <x v="363"/>
    <x v="5"/>
    <n v="856.74277331863902"/>
    <n v="7"/>
    <n v="87.181646302305595"/>
    <x v="2"/>
  </r>
  <r>
    <x v="364"/>
    <x v="0"/>
    <n v="1132.74900387037"/>
    <n v="14"/>
    <n v="353.464221248873"/>
    <x v="3"/>
  </r>
  <r>
    <x v="364"/>
    <x v="1"/>
    <n v="679.26197067456098"/>
    <n v="8"/>
    <n v="183.860199655363"/>
    <x v="0"/>
  </r>
  <r>
    <x v="364"/>
    <x v="2"/>
    <n v="1193.73372787108"/>
    <n v="10"/>
    <n v="359.01093816922298"/>
    <x v="2"/>
  </r>
  <r>
    <x v="364"/>
    <x v="3"/>
    <n v="1076.11870615255"/>
    <n v="17"/>
    <n v="259.570915782366"/>
    <x v="0"/>
  </r>
  <r>
    <x v="364"/>
    <x v="5"/>
    <n v="703.973443248629"/>
    <n v="14"/>
    <n v="134.1060064066159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B3" firstHeaderRow="1" firstDataRow="1" firstDataCol="1"/>
  <pivotFields count="6">
    <pivotField showAll="0">
      <items count="366">
        <item x="12"/>
        <item x="13"/>
        <item x="14"/>
        <item x="15"/>
        <item x="16"/>
        <item x="17"/>
        <item x="18"/>
        <item x="19"/>
        <item x="20"/>
        <item x="21"/>
        <item x="22"/>
        <item x="23"/>
        <item x="24"/>
        <item x="25"/>
        <item x="26"/>
        <item x="27"/>
        <item x="28"/>
        <item x="29"/>
        <item x="30"/>
        <item x="285"/>
        <item x="286"/>
        <item x="287"/>
        <item x="288"/>
        <item x="289"/>
        <item x="290"/>
        <item x="291"/>
        <item x="292"/>
        <item x="293"/>
        <item x="294"/>
        <item x="295"/>
        <item x="296"/>
        <item x="297"/>
        <item x="298"/>
        <item x="299"/>
        <item x="300"/>
        <item x="301"/>
        <item x="302"/>
        <item x="303"/>
        <item x="316"/>
        <item x="317"/>
        <item x="318"/>
        <item x="319"/>
        <item x="320"/>
        <item x="321"/>
        <item x="322"/>
        <item x="323"/>
        <item x="324"/>
        <item x="325"/>
        <item x="326"/>
        <item x="327"/>
        <item x="328"/>
        <item x="329"/>
        <item x="330"/>
        <item x="331"/>
        <item x="332"/>
        <item x="333"/>
        <item x="346"/>
        <item x="347"/>
        <item x="348"/>
        <item x="349"/>
        <item x="350"/>
        <item x="351"/>
        <item x="352"/>
        <item x="353"/>
        <item x="354"/>
        <item x="355"/>
        <item x="356"/>
        <item x="357"/>
        <item x="358"/>
        <item x="359"/>
        <item x="360"/>
        <item x="361"/>
        <item x="362"/>
        <item x="363"/>
        <item x="364"/>
        <item x="43"/>
        <item x="44"/>
        <item x="45"/>
        <item x="46"/>
        <item x="47"/>
        <item x="48"/>
        <item x="49"/>
        <item x="50"/>
        <item x="51"/>
        <item x="52"/>
        <item x="53"/>
        <item x="54"/>
        <item x="55"/>
        <item x="56"/>
        <item x="57"/>
        <item x="58"/>
        <item x="71"/>
        <item x="72"/>
        <item x="73"/>
        <item x="74"/>
        <item x="75"/>
        <item x="76"/>
        <item x="77"/>
        <item x="78"/>
        <item x="79"/>
        <item x="80"/>
        <item x="81"/>
        <item x="82"/>
        <item x="83"/>
        <item x="84"/>
        <item x="85"/>
        <item x="86"/>
        <item x="87"/>
        <item x="88"/>
        <item x="89"/>
        <item x="102"/>
        <item x="103"/>
        <item x="104"/>
        <item x="105"/>
        <item x="106"/>
        <item x="107"/>
        <item x="108"/>
        <item x="109"/>
        <item x="110"/>
        <item x="111"/>
        <item x="112"/>
        <item x="113"/>
        <item x="114"/>
        <item x="115"/>
        <item x="116"/>
        <item x="117"/>
        <item x="118"/>
        <item x="119"/>
        <item x="132"/>
        <item x="133"/>
        <item x="134"/>
        <item x="135"/>
        <item x="136"/>
        <item x="137"/>
        <item x="138"/>
        <item x="139"/>
        <item x="140"/>
        <item x="141"/>
        <item x="142"/>
        <item x="143"/>
        <item x="144"/>
        <item x="145"/>
        <item x="146"/>
        <item x="147"/>
        <item x="148"/>
        <item x="149"/>
        <item x="150"/>
        <item x="163"/>
        <item x="164"/>
        <item x="165"/>
        <item x="166"/>
        <item x="167"/>
        <item x="168"/>
        <item x="169"/>
        <item x="170"/>
        <item x="171"/>
        <item x="172"/>
        <item x="173"/>
        <item x="174"/>
        <item x="175"/>
        <item x="176"/>
        <item x="177"/>
        <item x="178"/>
        <item x="179"/>
        <item x="180"/>
        <item x="193"/>
        <item x="194"/>
        <item x="195"/>
        <item x="196"/>
        <item x="197"/>
        <item x="198"/>
        <item x="199"/>
        <item x="200"/>
        <item x="201"/>
        <item x="202"/>
        <item x="203"/>
        <item x="204"/>
        <item x="205"/>
        <item x="206"/>
        <item x="207"/>
        <item x="208"/>
        <item x="209"/>
        <item x="210"/>
        <item x="211"/>
        <item x="224"/>
        <item x="225"/>
        <item x="226"/>
        <item x="227"/>
        <item x="228"/>
        <item x="229"/>
        <item x="230"/>
        <item x="231"/>
        <item x="232"/>
        <item x="233"/>
        <item x="234"/>
        <item x="235"/>
        <item x="236"/>
        <item x="237"/>
        <item x="238"/>
        <item x="239"/>
        <item x="240"/>
        <item x="241"/>
        <item x="242"/>
        <item x="255"/>
        <item x="256"/>
        <item x="257"/>
        <item x="258"/>
        <item x="259"/>
        <item x="260"/>
        <item x="261"/>
        <item x="262"/>
        <item x="263"/>
        <item x="264"/>
        <item x="265"/>
        <item x="266"/>
        <item x="267"/>
        <item x="268"/>
        <item x="269"/>
        <item x="270"/>
        <item x="271"/>
        <item x="272"/>
        <item x="0"/>
        <item x="31"/>
        <item x="59"/>
        <item x="90"/>
        <item x="120"/>
        <item x="151"/>
        <item x="181"/>
        <item x="212"/>
        <item x="243"/>
        <item x="273"/>
        <item x="304"/>
        <item x="334"/>
        <item x="1"/>
        <item x="32"/>
        <item x="60"/>
        <item x="91"/>
        <item x="121"/>
        <item x="152"/>
        <item x="182"/>
        <item x="213"/>
        <item x="244"/>
        <item x="274"/>
        <item x="305"/>
        <item x="335"/>
        <item x="2"/>
        <item x="33"/>
        <item x="61"/>
        <item x="92"/>
        <item x="122"/>
        <item x="153"/>
        <item x="183"/>
        <item x="214"/>
        <item x="245"/>
        <item x="275"/>
        <item x="306"/>
        <item x="336"/>
        <item x="3"/>
        <item x="34"/>
        <item x="62"/>
        <item x="93"/>
        <item x="123"/>
        <item x="154"/>
        <item x="184"/>
        <item x="215"/>
        <item x="246"/>
        <item x="276"/>
        <item x="307"/>
        <item x="337"/>
        <item x="4"/>
        <item x="35"/>
        <item x="63"/>
        <item x="94"/>
        <item x="124"/>
        <item x="155"/>
        <item x="185"/>
        <item x="216"/>
        <item x="247"/>
        <item x="277"/>
        <item x="308"/>
        <item x="338"/>
        <item x="5"/>
        <item x="36"/>
        <item x="64"/>
        <item x="95"/>
        <item x="125"/>
        <item x="156"/>
        <item x="186"/>
        <item x="217"/>
        <item x="248"/>
        <item x="278"/>
        <item x="309"/>
        <item x="339"/>
        <item x="6"/>
        <item x="37"/>
        <item x="65"/>
        <item x="96"/>
        <item x="126"/>
        <item x="157"/>
        <item x="187"/>
        <item x="218"/>
        <item x="249"/>
        <item x="279"/>
        <item x="310"/>
        <item x="340"/>
        <item x="7"/>
        <item x="38"/>
        <item x="66"/>
        <item x="97"/>
        <item x="127"/>
        <item x="158"/>
        <item x="188"/>
        <item x="219"/>
        <item x="250"/>
        <item x="280"/>
        <item x="311"/>
        <item x="341"/>
        <item x="8"/>
        <item x="39"/>
        <item x="67"/>
        <item x="98"/>
        <item x="128"/>
        <item x="159"/>
        <item x="189"/>
        <item x="220"/>
        <item x="251"/>
        <item x="281"/>
        <item x="312"/>
        <item x="342"/>
        <item x="9"/>
        <item x="40"/>
        <item x="68"/>
        <item x="99"/>
        <item x="129"/>
        <item x="160"/>
        <item x="190"/>
        <item x="221"/>
        <item x="252"/>
        <item x="282"/>
        <item x="313"/>
        <item x="343"/>
        <item x="10"/>
        <item x="41"/>
        <item x="69"/>
        <item x="100"/>
        <item x="130"/>
        <item x="161"/>
        <item x="191"/>
        <item x="222"/>
        <item x="253"/>
        <item x="283"/>
        <item x="314"/>
        <item x="344"/>
        <item x="11"/>
        <item x="42"/>
        <item x="70"/>
        <item x="101"/>
        <item x="131"/>
        <item x="162"/>
        <item x="192"/>
        <item x="223"/>
        <item x="254"/>
        <item x="284"/>
        <item x="315"/>
        <item x="345"/>
        <item t="default"/>
      </items>
    </pivotField>
    <pivotField axis="axisRow" showAll="0">
      <items count="9">
        <item h="1" x="7"/>
        <item h="1" x="5"/>
        <item x="1"/>
        <item h="1" x="0"/>
        <item h="1" x="2"/>
        <item h="1" x="6"/>
        <item h="1" x="3"/>
        <item h="1" x="4"/>
        <item t="default"/>
      </items>
    </pivotField>
    <pivotField dataField="1" showAll="0"/>
    <pivotField showAll="0"/>
    <pivotField showAll="0"/>
    <pivotField showAll="0">
      <items count="6">
        <item h="1" x="1"/>
        <item x="0"/>
        <item h="1" x="2"/>
        <item h="1" x="4"/>
        <item h="1" x="3"/>
        <item t="default"/>
      </items>
    </pivotField>
  </pivotFields>
  <rowFields count="1">
    <field x="1"/>
  </rowFields>
  <rowItems count="2">
    <i>
      <x v="2"/>
    </i>
    <i t="grand">
      <x/>
    </i>
  </rowItems>
  <colItems count="1">
    <i/>
  </colItems>
  <dataFields count="1">
    <dataField name="Sum of Sales" fld="2" baseField="1" baseItem="0"/>
  </dataFields>
  <formats count="10">
    <format dxfId="140">
      <pivotArea dataOnly="0" labelOnly="1" outline="0" axis="axisValues" fieldPosition="0"/>
    </format>
    <format dxfId="139">
      <pivotArea dataOnly="0" labelOnly="1" outline="0" axis="axisValues" fieldPosition="0"/>
    </format>
    <format dxfId="138">
      <pivotArea field="1" type="button" dataOnly="0" labelOnly="1" outline="0" axis="axisRow" fieldPosition="0"/>
    </format>
    <format dxfId="137">
      <pivotArea grandRow="1" outline="0" collapsedLevelsAreSubtotals="1" fieldPosition="0"/>
    </format>
    <format dxfId="136">
      <pivotArea dataOnly="0" labelOnly="1" grandRow="1" outline="0" fieldPosition="0"/>
    </format>
    <format dxfId="135">
      <pivotArea dataOnly="0" labelOnly="1" outline="0" axis="axisValues" fieldPosition="0"/>
    </format>
    <format dxfId="134">
      <pivotArea dataOnly="0" labelOnly="1" outline="0" axis="axisValues" fieldPosition="0"/>
    </format>
    <format dxfId="133">
      <pivotArea field="1" type="button" dataOnly="0" labelOnly="1" outline="0" axis="axisRow" fieldPosition="0"/>
    </format>
    <format dxfId="132">
      <pivotArea grandRow="1" outline="0" collapsedLevelsAreSubtotals="1" fieldPosition="0"/>
    </format>
    <format dxfId="131">
      <pivotArea dataOnly="0" labelOnly="1" grandRow="1" outline="0" fieldPosition="0"/>
    </format>
  </formats>
  <chartFormats count="2">
    <chartFormat chart="3" format="2"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1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1:B3" firstHeaderRow="1" firstDataRow="1" firstDataCol="1"/>
  <pivotFields count="6">
    <pivotField showAll="0">
      <items count="366">
        <item x="12"/>
        <item x="13"/>
        <item x="14"/>
        <item x="15"/>
        <item x="16"/>
        <item x="17"/>
        <item x="18"/>
        <item x="19"/>
        <item x="20"/>
        <item x="21"/>
        <item x="22"/>
        <item x="23"/>
        <item x="24"/>
        <item x="25"/>
        <item x="26"/>
        <item x="27"/>
        <item x="28"/>
        <item x="29"/>
        <item x="30"/>
        <item x="285"/>
        <item x="286"/>
        <item x="287"/>
        <item x="288"/>
        <item x="289"/>
        <item x="290"/>
        <item x="291"/>
        <item x="292"/>
        <item x="293"/>
        <item x="294"/>
        <item x="295"/>
        <item x="296"/>
        <item x="297"/>
        <item x="298"/>
        <item x="299"/>
        <item x="300"/>
        <item x="301"/>
        <item x="302"/>
        <item x="303"/>
        <item x="316"/>
        <item x="317"/>
        <item x="318"/>
        <item x="319"/>
        <item x="320"/>
        <item x="321"/>
        <item x="322"/>
        <item x="323"/>
        <item x="324"/>
        <item x="325"/>
        <item x="326"/>
        <item x="327"/>
        <item x="328"/>
        <item x="329"/>
        <item x="330"/>
        <item x="331"/>
        <item x="332"/>
        <item x="333"/>
        <item x="346"/>
        <item x="347"/>
        <item x="348"/>
        <item x="349"/>
        <item x="350"/>
        <item x="351"/>
        <item x="352"/>
        <item x="353"/>
        <item x="354"/>
        <item x="355"/>
        <item x="356"/>
        <item x="357"/>
        <item x="358"/>
        <item x="359"/>
        <item x="360"/>
        <item x="361"/>
        <item x="362"/>
        <item x="363"/>
        <item x="364"/>
        <item x="43"/>
        <item x="44"/>
        <item x="45"/>
        <item x="46"/>
        <item x="47"/>
        <item x="48"/>
        <item x="49"/>
        <item x="50"/>
        <item x="51"/>
        <item x="52"/>
        <item x="53"/>
        <item x="54"/>
        <item x="55"/>
        <item x="56"/>
        <item x="57"/>
        <item x="58"/>
        <item x="71"/>
        <item x="72"/>
        <item x="73"/>
        <item x="74"/>
        <item x="75"/>
        <item x="76"/>
        <item x="77"/>
        <item x="78"/>
        <item x="79"/>
        <item x="80"/>
        <item x="81"/>
        <item x="82"/>
        <item x="83"/>
        <item x="84"/>
        <item x="85"/>
        <item x="86"/>
        <item x="87"/>
        <item x="88"/>
        <item x="89"/>
        <item x="102"/>
        <item x="103"/>
        <item x="104"/>
        <item x="105"/>
        <item x="106"/>
        <item x="107"/>
        <item x="108"/>
        <item x="109"/>
        <item x="110"/>
        <item x="111"/>
        <item x="112"/>
        <item x="113"/>
        <item x="114"/>
        <item x="115"/>
        <item x="116"/>
        <item x="117"/>
        <item x="118"/>
        <item x="119"/>
        <item x="132"/>
        <item x="133"/>
        <item x="134"/>
        <item x="135"/>
        <item x="136"/>
        <item x="137"/>
        <item x="138"/>
        <item x="139"/>
        <item x="140"/>
        <item x="141"/>
        <item x="142"/>
        <item x="143"/>
        <item x="144"/>
        <item x="145"/>
        <item x="146"/>
        <item x="147"/>
        <item x="148"/>
        <item x="149"/>
        <item x="150"/>
        <item x="163"/>
        <item x="164"/>
        <item x="165"/>
        <item x="166"/>
        <item x="167"/>
        <item x="168"/>
        <item x="169"/>
        <item x="170"/>
        <item x="171"/>
        <item x="172"/>
        <item x="173"/>
        <item x="174"/>
        <item x="175"/>
        <item x="176"/>
        <item x="177"/>
        <item x="178"/>
        <item x="179"/>
        <item x="180"/>
        <item x="193"/>
        <item x="194"/>
        <item x="195"/>
        <item x="196"/>
        <item x="197"/>
        <item x="198"/>
        <item x="199"/>
        <item x="200"/>
        <item x="201"/>
        <item x="202"/>
        <item x="203"/>
        <item x="204"/>
        <item x="205"/>
        <item x="206"/>
        <item x="207"/>
        <item x="208"/>
        <item x="209"/>
        <item x="210"/>
        <item x="211"/>
        <item x="224"/>
        <item x="225"/>
        <item x="226"/>
        <item x="227"/>
        <item x="228"/>
        <item x="229"/>
        <item x="230"/>
        <item x="231"/>
        <item x="232"/>
        <item x="233"/>
        <item x="234"/>
        <item x="235"/>
        <item x="236"/>
        <item x="237"/>
        <item x="238"/>
        <item x="239"/>
        <item x="240"/>
        <item x="241"/>
        <item x="242"/>
        <item x="255"/>
        <item x="256"/>
        <item x="257"/>
        <item x="258"/>
        <item x="259"/>
        <item x="260"/>
        <item x="261"/>
        <item x="262"/>
        <item x="263"/>
        <item x="264"/>
        <item x="265"/>
        <item x="266"/>
        <item x="267"/>
        <item x="268"/>
        <item x="269"/>
        <item x="270"/>
        <item x="271"/>
        <item x="272"/>
        <item x="0"/>
        <item x="31"/>
        <item x="59"/>
        <item x="90"/>
        <item x="120"/>
        <item x="151"/>
        <item x="181"/>
        <item x="212"/>
        <item x="243"/>
        <item x="273"/>
        <item x="304"/>
        <item x="334"/>
        <item x="1"/>
        <item x="32"/>
        <item x="60"/>
        <item x="91"/>
        <item x="121"/>
        <item x="152"/>
        <item x="182"/>
        <item x="213"/>
        <item x="244"/>
        <item x="274"/>
        <item x="305"/>
        <item x="335"/>
        <item x="2"/>
        <item x="33"/>
        <item x="61"/>
        <item x="92"/>
        <item x="122"/>
        <item x="153"/>
        <item x="183"/>
        <item x="214"/>
        <item x="245"/>
        <item x="275"/>
        <item x="306"/>
        <item x="336"/>
        <item x="3"/>
        <item x="34"/>
        <item x="62"/>
        <item x="93"/>
        <item x="123"/>
        <item x="154"/>
        <item x="184"/>
        <item x="215"/>
        <item x="246"/>
        <item x="276"/>
        <item x="307"/>
        <item x="337"/>
        <item x="4"/>
        <item x="35"/>
        <item x="63"/>
        <item x="94"/>
        <item x="124"/>
        <item x="155"/>
        <item x="185"/>
        <item x="216"/>
        <item x="247"/>
        <item x="277"/>
        <item x="308"/>
        <item x="338"/>
        <item x="5"/>
        <item x="36"/>
        <item x="64"/>
        <item x="95"/>
        <item x="125"/>
        <item x="156"/>
        <item x="186"/>
        <item x="217"/>
        <item x="248"/>
        <item x="278"/>
        <item x="309"/>
        <item x="339"/>
        <item x="6"/>
        <item x="37"/>
        <item x="65"/>
        <item x="96"/>
        <item x="126"/>
        <item x="157"/>
        <item x="187"/>
        <item x="218"/>
        <item x="249"/>
        <item x="279"/>
        <item x="310"/>
        <item x="340"/>
        <item x="7"/>
        <item x="38"/>
        <item x="66"/>
        <item x="97"/>
        <item x="127"/>
        <item x="158"/>
        <item x="188"/>
        <item x="219"/>
        <item x="250"/>
        <item x="280"/>
        <item x="311"/>
        <item x="341"/>
        <item x="8"/>
        <item x="39"/>
        <item x="67"/>
        <item x="98"/>
        <item x="128"/>
        <item x="159"/>
        <item x="189"/>
        <item x="220"/>
        <item x="251"/>
        <item x="281"/>
        <item x="312"/>
        <item x="342"/>
        <item x="9"/>
        <item x="40"/>
        <item x="68"/>
        <item x="99"/>
        <item x="129"/>
        <item x="160"/>
        <item x="190"/>
        <item x="221"/>
        <item x="252"/>
        <item x="282"/>
        <item x="313"/>
        <item x="343"/>
        <item x="10"/>
        <item x="41"/>
        <item x="69"/>
        <item x="100"/>
        <item x="130"/>
        <item x="161"/>
        <item x="191"/>
        <item x="222"/>
        <item x="253"/>
        <item x="283"/>
        <item x="314"/>
        <item x="344"/>
        <item x="11"/>
        <item x="42"/>
        <item x="70"/>
        <item x="101"/>
        <item x="131"/>
        <item x="162"/>
        <item x="192"/>
        <item x="223"/>
        <item x="254"/>
        <item x="284"/>
        <item x="315"/>
        <item x="345"/>
        <item t="default"/>
      </items>
    </pivotField>
    <pivotField showAll="0">
      <items count="9">
        <item h="1" x="7"/>
        <item h="1" x="5"/>
        <item x="1"/>
        <item h="1" x="0"/>
        <item h="1" x="2"/>
        <item h="1" x="6"/>
        <item h="1" x="3"/>
        <item h="1" x="4"/>
        <item t="default"/>
      </items>
    </pivotField>
    <pivotField dataField="1" showAll="0"/>
    <pivotField showAll="0"/>
    <pivotField showAll="0"/>
    <pivotField axis="axisRow" showAll="0">
      <items count="6">
        <item h="1" x="1"/>
        <item x="0"/>
        <item h="1" x="2"/>
        <item h="1" x="4"/>
        <item h="1" x="3"/>
        <item t="default"/>
      </items>
    </pivotField>
  </pivotFields>
  <rowFields count="1">
    <field x="5"/>
  </rowFields>
  <rowItems count="2">
    <i>
      <x v="1"/>
    </i>
    <i t="grand">
      <x/>
    </i>
  </rowItems>
  <colItems count="1">
    <i/>
  </colItems>
  <dataFields count="1">
    <dataField name="Sum of Sales" fld="2" baseField="5" baseItem="0"/>
  </dataFields>
  <formats count="6">
    <format dxfId="130">
      <pivotArea field="5" type="button" dataOnly="0" labelOnly="1" outline="0" axis="axisRow" fieldPosition="0"/>
    </format>
    <format dxfId="129">
      <pivotArea field="5" type="button" dataOnly="0" labelOnly="1" outline="0" axis="axisRow" fieldPosition="0"/>
    </format>
    <format dxfId="128">
      <pivotArea dataOnly="0" labelOnly="1" outline="0" axis="axisValues" fieldPosition="0"/>
    </format>
    <format dxfId="127">
      <pivotArea dataOnly="0" labelOnly="1" outline="0" axis="axisValues" fieldPosition="0"/>
    </format>
    <format dxfId="126">
      <pivotArea grandRow="1" outline="0" collapsedLevelsAreSubtotals="1" fieldPosition="0"/>
    </format>
    <format dxfId="125">
      <pivotArea dataOnly="0" labelOnly="1" grandRow="1" outline="0" fieldPosition="0"/>
    </format>
  </formats>
  <chartFormats count="2">
    <chartFormat chart="4" format="4"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1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B3" firstHeaderRow="1" firstDataRow="1" firstDataCol="1"/>
  <pivotFields count="6">
    <pivotField showAll="0">
      <items count="366">
        <item x="12"/>
        <item x="13"/>
        <item x="14"/>
        <item x="15"/>
        <item x="16"/>
        <item x="17"/>
        <item x="18"/>
        <item x="19"/>
        <item x="20"/>
        <item x="21"/>
        <item x="22"/>
        <item x="23"/>
        <item x="24"/>
        <item x="25"/>
        <item x="26"/>
        <item x="27"/>
        <item x="28"/>
        <item x="29"/>
        <item x="30"/>
        <item x="285"/>
        <item x="286"/>
        <item x="287"/>
        <item x="288"/>
        <item x="289"/>
        <item x="290"/>
        <item x="291"/>
        <item x="292"/>
        <item x="293"/>
        <item x="294"/>
        <item x="295"/>
        <item x="296"/>
        <item x="297"/>
        <item x="298"/>
        <item x="299"/>
        <item x="300"/>
        <item x="301"/>
        <item x="302"/>
        <item x="303"/>
        <item x="316"/>
        <item x="317"/>
        <item x="318"/>
        <item x="319"/>
        <item x="320"/>
        <item x="321"/>
        <item x="322"/>
        <item x="323"/>
        <item x="324"/>
        <item x="325"/>
        <item x="326"/>
        <item x="327"/>
        <item x="328"/>
        <item x="329"/>
        <item x="330"/>
        <item x="331"/>
        <item x="332"/>
        <item x="333"/>
        <item x="346"/>
        <item x="347"/>
        <item x="348"/>
        <item x="349"/>
        <item x="350"/>
        <item x="351"/>
        <item x="352"/>
        <item x="353"/>
        <item x="354"/>
        <item x="355"/>
        <item x="356"/>
        <item x="357"/>
        <item x="358"/>
        <item x="359"/>
        <item x="360"/>
        <item x="361"/>
        <item x="362"/>
        <item x="363"/>
        <item x="364"/>
        <item x="43"/>
        <item x="44"/>
        <item x="45"/>
        <item x="46"/>
        <item x="47"/>
        <item x="48"/>
        <item x="49"/>
        <item x="50"/>
        <item x="51"/>
        <item x="52"/>
        <item x="53"/>
        <item x="54"/>
        <item x="55"/>
        <item x="56"/>
        <item x="57"/>
        <item x="58"/>
        <item x="71"/>
        <item x="72"/>
        <item x="73"/>
        <item x="74"/>
        <item x="75"/>
        <item x="76"/>
        <item x="77"/>
        <item x="78"/>
        <item x="79"/>
        <item x="80"/>
        <item x="81"/>
        <item x="82"/>
        <item x="83"/>
        <item x="84"/>
        <item x="85"/>
        <item x="86"/>
        <item x="87"/>
        <item x="88"/>
        <item x="89"/>
        <item x="102"/>
        <item x="103"/>
        <item x="104"/>
        <item x="105"/>
        <item x="106"/>
        <item x="107"/>
        <item x="108"/>
        <item x="109"/>
        <item x="110"/>
        <item x="111"/>
        <item x="112"/>
        <item x="113"/>
        <item x="114"/>
        <item x="115"/>
        <item x="116"/>
        <item x="117"/>
        <item x="118"/>
        <item x="119"/>
        <item x="132"/>
        <item x="133"/>
        <item x="134"/>
        <item x="135"/>
        <item x="136"/>
        <item x="137"/>
        <item x="138"/>
        <item x="139"/>
        <item x="140"/>
        <item x="141"/>
        <item x="142"/>
        <item x="143"/>
        <item x="144"/>
        <item x="145"/>
        <item x="146"/>
        <item x="147"/>
        <item x="148"/>
        <item x="149"/>
        <item x="150"/>
        <item x="163"/>
        <item x="164"/>
        <item x="165"/>
        <item x="166"/>
        <item x="167"/>
        <item x="168"/>
        <item x="169"/>
        <item x="170"/>
        <item x="171"/>
        <item x="172"/>
        <item x="173"/>
        <item x="174"/>
        <item x="175"/>
        <item x="176"/>
        <item x="177"/>
        <item x="178"/>
        <item x="179"/>
        <item x="180"/>
        <item x="193"/>
        <item x="194"/>
        <item x="195"/>
        <item x="196"/>
        <item x="197"/>
        <item x="198"/>
        <item x="199"/>
        <item x="200"/>
        <item x="201"/>
        <item x="202"/>
        <item x="203"/>
        <item x="204"/>
        <item x="205"/>
        <item x="206"/>
        <item x="207"/>
        <item x="208"/>
        <item x="209"/>
        <item x="210"/>
        <item x="211"/>
        <item x="224"/>
        <item x="225"/>
        <item x="226"/>
        <item x="227"/>
        <item x="228"/>
        <item x="229"/>
        <item x="230"/>
        <item x="231"/>
        <item x="232"/>
        <item x="233"/>
        <item x="234"/>
        <item x="235"/>
        <item x="236"/>
        <item x="237"/>
        <item x="238"/>
        <item x="239"/>
        <item x="240"/>
        <item x="241"/>
        <item x="242"/>
        <item x="255"/>
        <item x="256"/>
        <item x="257"/>
        <item x="258"/>
        <item x="259"/>
        <item x="260"/>
        <item x="261"/>
        <item x="262"/>
        <item x="263"/>
        <item x="264"/>
        <item x="265"/>
        <item x="266"/>
        <item x="267"/>
        <item x="268"/>
        <item x="269"/>
        <item x="270"/>
        <item x="271"/>
        <item x="272"/>
        <item x="0"/>
        <item x="31"/>
        <item x="59"/>
        <item x="90"/>
        <item x="120"/>
        <item x="151"/>
        <item x="181"/>
        <item x="212"/>
        <item x="243"/>
        <item x="273"/>
        <item x="304"/>
        <item x="334"/>
        <item x="1"/>
        <item x="32"/>
        <item x="60"/>
        <item x="91"/>
        <item x="121"/>
        <item x="152"/>
        <item x="182"/>
        <item x="213"/>
        <item x="244"/>
        <item x="274"/>
        <item x="305"/>
        <item x="335"/>
        <item x="2"/>
        <item x="33"/>
        <item x="61"/>
        <item x="92"/>
        <item x="122"/>
        <item x="153"/>
        <item x="183"/>
        <item x="214"/>
        <item x="245"/>
        <item x="275"/>
        <item x="306"/>
        <item x="336"/>
        <item x="3"/>
        <item x="34"/>
        <item x="62"/>
        <item x="93"/>
        <item x="123"/>
        <item x="154"/>
        <item x="184"/>
        <item x="215"/>
        <item x="246"/>
        <item x="276"/>
        <item x="307"/>
        <item x="337"/>
        <item x="4"/>
        <item x="35"/>
        <item x="63"/>
        <item x="94"/>
        <item x="124"/>
        <item x="155"/>
        <item x="185"/>
        <item x="216"/>
        <item x="247"/>
        <item x="277"/>
        <item x="308"/>
        <item x="338"/>
        <item x="5"/>
        <item x="36"/>
        <item x="64"/>
        <item x="95"/>
        <item x="125"/>
        <item x="156"/>
        <item x="186"/>
        <item x="217"/>
        <item x="248"/>
        <item x="278"/>
        <item x="309"/>
        <item x="339"/>
        <item x="6"/>
        <item x="37"/>
        <item x="65"/>
        <item x="96"/>
        <item x="126"/>
        <item x="157"/>
        <item x="187"/>
        <item x="218"/>
        <item x="249"/>
        <item x="279"/>
        <item x="310"/>
        <item x="340"/>
        <item x="7"/>
        <item x="38"/>
        <item x="66"/>
        <item x="97"/>
        <item x="127"/>
        <item x="158"/>
        <item x="188"/>
        <item x="219"/>
        <item x="250"/>
        <item x="280"/>
        <item x="311"/>
        <item x="341"/>
        <item x="8"/>
        <item x="39"/>
        <item x="67"/>
        <item x="98"/>
        <item x="128"/>
        <item x="159"/>
        <item x="189"/>
        <item x="220"/>
        <item x="251"/>
        <item x="281"/>
        <item x="312"/>
        <item x="342"/>
        <item x="9"/>
        <item x="40"/>
        <item x="68"/>
        <item x="99"/>
        <item x="129"/>
        <item x="160"/>
        <item x="190"/>
        <item x="221"/>
        <item x="252"/>
        <item x="282"/>
        <item x="313"/>
        <item x="343"/>
        <item x="10"/>
        <item x="41"/>
        <item x="69"/>
        <item x="100"/>
        <item x="130"/>
        <item x="161"/>
        <item x="191"/>
        <item x="222"/>
        <item x="253"/>
        <item x="283"/>
        <item x="314"/>
        <item x="344"/>
        <item x="11"/>
        <item x="42"/>
        <item x="70"/>
        <item x="101"/>
        <item x="131"/>
        <item x="162"/>
        <item x="192"/>
        <item x="223"/>
        <item x="254"/>
        <item x="284"/>
        <item x="315"/>
        <item x="345"/>
        <item t="default"/>
      </items>
    </pivotField>
    <pivotField axis="axisRow" showAll="0">
      <items count="9">
        <item h="1" x="7"/>
        <item h="1" x="5"/>
        <item x="1"/>
        <item h="1" x="0"/>
        <item h="1" x="2"/>
        <item h="1" x="6"/>
        <item h="1" x="3"/>
        <item h="1" x="4"/>
        <item t="default"/>
      </items>
    </pivotField>
    <pivotField showAll="0"/>
    <pivotField dataField="1" showAll="0"/>
    <pivotField showAll="0"/>
    <pivotField showAll="0">
      <items count="6">
        <item h="1" x="1"/>
        <item x="0"/>
        <item h="1" x="2"/>
        <item h="1" x="4"/>
        <item h="1" x="3"/>
        <item t="default"/>
      </items>
    </pivotField>
  </pivotFields>
  <rowFields count="1">
    <field x="1"/>
  </rowFields>
  <rowItems count="2">
    <i>
      <x v="2"/>
    </i>
    <i t="grand">
      <x/>
    </i>
  </rowItems>
  <colItems count="1">
    <i/>
  </colItems>
  <dataFields count="1">
    <dataField name="Sum of Quantity" fld="3" baseField="0" baseItem="0"/>
  </dataFields>
  <formats count="5">
    <format dxfId="124">
      <pivotArea field="1" type="button" dataOnly="0" labelOnly="1" outline="0" axis="axisRow" fieldPosition="0"/>
    </format>
    <format dxfId="123">
      <pivotArea dataOnly="0" labelOnly="1" outline="0" axis="axisValues" fieldPosition="0"/>
    </format>
    <format dxfId="122">
      <pivotArea dataOnly="0" labelOnly="1" outline="0" axis="axisValues" fieldPosition="0"/>
    </format>
    <format dxfId="121">
      <pivotArea grandRow="1" outline="0" collapsedLevelsAreSubtotals="1" fieldPosition="0"/>
    </format>
    <format dxfId="120">
      <pivotArea dataOnly="0" labelOnly="1" grandRow="1" outline="0" fieldPosition="0"/>
    </format>
  </formats>
  <chartFormats count="2">
    <chartFormat chart="3"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7" cacheId="1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16" firstHeaderRow="1" firstDataRow="1" firstDataCol="1"/>
  <pivotFields count="2">
    <pivotField axis="axisRow" allDrilled="1" showAll="0" dataSourceSort="1" defaultAttributeDrillState="1">
      <items count="13">
        <item x="0"/>
        <item x="1"/>
        <item x="2"/>
        <item x="3"/>
        <item x="4"/>
        <item x="5"/>
        <item x="6"/>
        <item x="7"/>
        <item x="8"/>
        <item x="9"/>
        <item x="10"/>
        <item x="11"/>
        <item t="default"/>
      </items>
    </pivotField>
    <pivotField dataField="1" showAll="0"/>
  </pivotFields>
  <rowFields count="1">
    <field x="0"/>
  </rowFields>
  <rowItems count="13">
    <i>
      <x/>
    </i>
    <i>
      <x v="1"/>
    </i>
    <i>
      <x v="2"/>
    </i>
    <i>
      <x v="3"/>
    </i>
    <i>
      <x v="4"/>
    </i>
    <i>
      <x v="5"/>
    </i>
    <i>
      <x v="6"/>
    </i>
    <i>
      <x v="7"/>
    </i>
    <i>
      <x v="8"/>
    </i>
    <i>
      <x v="9"/>
    </i>
    <i>
      <x v="10"/>
    </i>
    <i>
      <x v="11"/>
    </i>
    <i t="grand">
      <x/>
    </i>
  </rowItems>
  <colItems count="1">
    <i/>
  </colItems>
  <dataFields count="1">
    <dataField name="Sum of Sales" fld="1" baseField="0" baseItem="0"/>
  </dataFields>
  <formats count="5">
    <format dxfId="119">
      <pivotArea field="0" type="button" dataOnly="0" labelOnly="1" outline="0" axis="axisRow" fieldPosition="0"/>
    </format>
    <format dxfId="118">
      <pivotArea dataOnly="0" labelOnly="1" outline="0" axis="axisValues" fieldPosition="0"/>
    </format>
    <format dxfId="117">
      <pivotArea dataOnly="0" labelOnly="1" outline="0" axis="axisValues" fieldPosition="0"/>
    </format>
    <format dxfId="116">
      <pivotArea grandRow="1" outline="0" collapsedLevelsAreSubtotals="1" fieldPosition="0"/>
    </format>
    <format dxfId="115">
      <pivotArea dataOnly="0" labelOnly="1" grandRow="1" outline="0" fieldPosition="0"/>
    </format>
  </formats>
  <chartFormats count="27">
    <chartFormat chart="0" format="0" series="1">
      <pivotArea type="data" outline="0" fieldPosition="0">
        <references count="1">
          <reference field="4294967294" count="1" selected="0">
            <x v="0"/>
          </reference>
        </references>
      </pivotArea>
    </chartFormat>
    <chartFormat chart="2" format="14" series="1">
      <pivotArea type="data" outline="0" fieldPosition="0">
        <references count="1">
          <reference field="4294967294" count="1" selected="0">
            <x v="0"/>
          </reference>
        </references>
      </pivotArea>
    </chartFormat>
    <chartFormat chart="2" format="15">
      <pivotArea type="data" outline="0" fieldPosition="0">
        <references count="2">
          <reference field="4294967294" count="1" selected="0">
            <x v="0"/>
          </reference>
          <reference field="0" count="1" selected="0">
            <x v="0"/>
          </reference>
        </references>
      </pivotArea>
    </chartFormat>
    <chartFormat chart="2" format="16">
      <pivotArea type="data" outline="0" fieldPosition="0">
        <references count="2">
          <reference field="4294967294" count="1" selected="0">
            <x v="0"/>
          </reference>
          <reference field="0" count="1" selected="0">
            <x v="1"/>
          </reference>
        </references>
      </pivotArea>
    </chartFormat>
    <chartFormat chart="2" format="17">
      <pivotArea type="data" outline="0" fieldPosition="0">
        <references count="2">
          <reference field="4294967294" count="1" selected="0">
            <x v="0"/>
          </reference>
          <reference field="0" count="1" selected="0">
            <x v="2"/>
          </reference>
        </references>
      </pivotArea>
    </chartFormat>
    <chartFormat chart="2" format="18">
      <pivotArea type="data" outline="0" fieldPosition="0">
        <references count="2">
          <reference field="4294967294" count="1" selected="0">
            <x v="0"/>
          </reference>
          <reference field="0" count="1" selected="0">
            <x v="3"/>
          </reference>
        </references>
      </pivotArea>
    </chartFormat>
    <chartFormat chart="2" format="19">
      <pivotArea type="data" outline="0" fieldPosition="0">
        <references count="2">
          <reference field="4294967294" count="1" selected="0">
            <x v="0"/>
          </reference>
          <reference field="0" count="1" selected="0">
            <x v="4"/>
          </reference>
        </references>
      </pivotArea>
    </chartFormat>
    <chartFormat chart="2" format="20">
      <pivotArea type="data" outline="0" fieldPosition="0">
        <references count="2">
          <reference field="4294967294" count="1" selected="0">
            <x v="0"/>
          </reference>
          <reference field="0" count="1" selected="0">
            <x v="5"/>
          </reference>
        </references>
      </pivotArea>
    </chartFormat>
    <chartFormat chart="2" format="21">
      <pivotArea type="data" outline="0" fieldPosition="0">
        <references count="2">
          <reference field="4294967294" count="1" selected="0">
            <x v="0"/>
          </reference>
          <reference field="0" count="1" selected="0">
            <x v="6"/>
          </reference>
        </references>
      </pivotArea>
    </chartFormat>
    <chartFormat chart="2" format="22">
      <pivotArea type="data" outline="0" fieldPosition="0">
        <references count="2">
          <reference field="4294967294" count="1" selected="0">
            <x v="0"/>
          </reference>
          <reference field="0" count="1" selected="0">
            <x v="7"/>
          </reference>
        </references>
      </pivotArea>
    </chartFormat>
    <chartFormat chart="2" format="23">
      <pivotArea type="data" outline="0" fieldPosition="0">
        <references count="2">
          <reference field="4294967294" count="1" selected="0">
            <x v="0"/>
          </reference>
          <reference field="0" count="1" selected="0">
            <x v="8"/>
          </reference>
        </references>
      </pivotArea>
    </chartFormat>
    <chartFormat chart="2" format="24">
      <pivotArea type="data" outline="0" fieldPosition="0">
        <references count="2">
          <reference field="4294967294" count="1" selected="0">
            <x v="0"/>
          </reference>
          <reference field="0" count="1" selected="0">
            <x v="9"/>
          </reference>
        </references>
      </pivotArea>
    </chartFormat>
    <chartFormat chart="2" format="25">
      <pivotArea type="data" outline="0" fieldPosition="0">
        <references count="2">
          <reference field="4294967294" count="1" selected="0">
            <x v="0"/>
          </reference>
          <reference field="0" count="1" selected="0">
            <x v="10"/>
          </reference>
        </references>
      </pivotArea>
    </chartFormat>
    <chartFormat chart="2" format="26">
      <pivotArea type="data" outline="0" fieldPosition="0">
        <references count="2">
          <reference field="4294967294" count="1" selected="0">
            <x v="0"/>
          </reference>
          <reference field="0" count="1" selected="0">
            <x v="11"/>
          </reference>
        </references>
      </pivotArea>
    </chartFormat>
    <chartFormat chart="3" format="14" series="1">
      <pivotArea type="data" outline="0" fieldPosition="0">
        <references count="1">
          <reference field="4294967294" count="1" selected="0">
            <x v="0"/>
          </reference>
        </references>
      </pivotArea>
    </chartFormat>
    <chartFormat chart="3" format="15">
      <pivotArea type="data" outline="0" fieldPosition="0">
        <references count="2">
          <reference field="4294967294" count="1" selected="0">
            <x v="0"/>
          </reference>
          <reference field="0" count="1" selected="0">
            <x v="0"/>
          </reference>
        </references>
      </pivotArea>
    </chartFormat>
    <chartFormat chart="3" format="16">
      <pivotArea type="data" outline="0" fieldPosition="0">
        <references count="2">
          <reference field="4294967294" count="1" selected="0">
            <x v="0"/>
          </reference>
          <reference field="0" count="1" selected="0">
            <x v="1"/>
          </reference>
        </references>
      </pivotArea>
    </chartFormat>
    <chartFormat chart="3" format="17">
      <pivotArea type="data" outline="0" fieldPosition="0">
        <references count="2">
          <reference field="4294967294" count="1" selected="0">
            <x v="0"/>
          </reference>
          <reference field="0" count="1" selected="0">
            <x v="2"/>
          </reference>
        </references>
      </pivotArea>
    </chartFormat>
    <chartFormat chart="3" format="18">
      <pivotArea type="data" outline="0" fieldPosition="0">
        <references count="2">
          <reference field="4294967294" count="1" selected="0">
            <x v="0"/>
          </reference>
          <reference field="0" count="1" selected="0">
            <x v="3"/>
          </reference>
        </references>
      </pivotArea>
    </chartFormat>
    <chartFormat chart="3" format="19">
      <pivotArea type="data" outline="0" fieldPosition="0">
        <references count="2">
          <reference field="4294967294" count="1" selected="0">
            <x v="0"/>
          </reference>
          <reference field="0" count="1" selected="0">
            <x v="4"/>
          </reference>
        </references>
      </pivotArea>
    </chartFormat>
    <chartFormat chart="3" format="20">
      <pivotArea type="data" outline="0" fieldPosition="0">
        <references count="2">
          <reference field="4294967294" count="1" selected="0">
            <x v="0"/>
          </reference>
          <reference field="0" count="1" selected="0">
            <x v="5"/>
          </reference>
        </references>
      </pivotArea>
    </chartFormat>
    <chartFormat chart="3" format="21">
      <pivotArea type="data" outline="0" fieldPosition="0">
        <references count="2">
          <reference field="4294967294" count="1" selected="0">
            <x v="0"/>
          </reference>
          <reference field="0" count="1" selected="0">
            <x v="6"/>
          </reference>
        </references>
      </pivotArea>
    </chartFormat>
    <chartFormat chart="3" format="22">
      <pivotArea type="data" outline="0" fieldPosition="0">
        <references count="2">
          <reference field="4294967294" count="1" selected="0">
            <x v="0"/>
          </reference>
          <reference field="0" count="1" selected="0">
            <x v="7"/>
          </reference>
        </references>
      </pivotArea>
    </chartFormat>
    <chartFormat chart="3" format="23">
      <pivotArea type="data" outline="0" fieldPosition="0">
        <references count="2">
          <reference field="4294967294" count="1" selected="0">
            <x v="0"/>
          </reference>
          <reference field="0" count="1" selected="0">
            <x v="8"/>
          </reference>
        </references>
      </pivotArea>
    </chartFormat>
    <chartFormat chart="3" format="24">
      <pivotArea type="data" outline="0" fieldPosition="0">
        <references count="2">
          <reference field="4294967294" count="1" selected="0">
            <x v="0"/>
          </reference>
          <reference field="0" count="1" selected="0">
            <x v="9"/>
          </reference>
        </references>
      </pivotArea>
    </chartFormat>
    <chartFormat chart="3" format="25">
      <pivotArea type="data" outline="0" fieldPosition="0">
        <references count="2">
          <reference field="4294967294" count="1" selected="0">
            <x v="0"/>
          </reference>
          <reference field="0" count="1" selected="0">
            <x v="10"/>
          </reference>
        </references>
      </pivotArea>
    </chartFormat>
    <chartFormat chart="3" format="26">
      <pivotArea type="data" outline="0" fieldPosition="0">
        <references count="2">
          <reference field="4294967294" count="1" selected="0">
            <x v="0"/>
          </reference>
          <reference field="0" count="1" selected="0">
            <x v="11"/>
          </reference>
        </references>
      </pivotArea>
    </chartFormat>
  </chartFormats>
  <pivotHierarchies count="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Vishalini_Retail_Analytics_Final.xlsx!Table1">
        <x15:activeTabTopLevelEntity name="[Table1]"/>
      </x15:pivotTableUISettings>
    </ext>
  </extLst>
</pivotTableDefinition>
</file>

<file path=xl/pivotTables/pivotTable5.xml><?xml version="1.0" encoding="utf-8"?>
<pivotTableDefinition xmlns="http://schemas.openxmlformats.org/spreadsheetml/2006/main" name="PivotTable8"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8" firstHeaderRow="1" firstDataRow="1" firstDataCol="1"/>
  <pivotFields count="2">
    <pivotField axis="axisRow" allDrilled="1" showAll="0" dataSourceSort="1" defaultAttributeDrillState="1">
      <items count="5">
        <item x="0"/>
        <item x="1"/>
        <item x="2"/>
        <item x="3"/>
        <item t="default"/>
      </items>
    </pivotField>
    <pivotField dataField="1" showAll="0"/>
  </pivotFields>
  <rowFields count="1">
    <field x="0"/>
  </rowFields>
  <rowItems count="5">
    <i>
      <x/>
    </i>
    <i>
      <x v="1"/>
    </i>
    <i>
      <x v="2"/>
    </i>
    <i>
      <x v="3"/>
    </i>
    <i t="grand">
      <x/>
    </i>
  </rowItems>
  <colItems count="1">
    <i/>
  </colItems>
  <dataFields count="1">
    <dataField name="Average of Safety Stock" fld="1" subtotal="average" baseField="0" baseItem="0"/>
  </dataFields>
  <formats count="5">
    <format dxfId="114">
      <pivotArea field="0" type="button" dataOnly="0" labelOnly="1" outline="0" axis="axisRow" fieldPosition="0"/>
    </format>
    <format dxfId="113">
      <pivotArea dataOnly="0" labelOnly="1" outline="0" axis="axisValues" fieldPosition="0"/>
    </format>
    <format dxfId="112">
      <pivotArea dataOnly="0" labelOnly="1" outline="0" axis="axisValues" fieldPosition="0"/>
    </format>
    <format dxfId="111">
      <pivotArea dataOnly="0" labelOnly="1" grandRow="1" outline="0" fieldPosition="0"/>
    </format>
    <format dxfId="110">
      <pivotArea grandRow="1"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Vishalini_Retail_Analytics_Final.xlsx!Table1">
        <x15:activeTabTopLevelEntity name="[Table1]"/>
      </x15:pivotTableUISettings>
    </ext>
  </extLst>
</pivotTableDefinition>
</file>

<file path=xl/pivotTables/pivotTable6.xml><?xml version="1.0" encoding="utf-8"?>
<pivotTableDefinition xmlns="http://schemas.openxmlformats.org/spreadsheetml/2006/main" name="PivotTable6" cacheId="1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64:D73" firstHeaderRow="1" firstDataRow="1" firstDataCol="1"/>
  <pivotFields count="6">
    <pivotField showAll="0"/>
    <pivotField axis="axisRow" showAll="0">
      <items count="9">
        <item x="7"/>
        <item x="5"/>
        <item x="1"/>
        <item x="0"/>
        <item x="2"/>
        <item x="6"/>
        <item x="3"/>
        <item x="4"/>
        <item t="default"/>
      </items>
    </pivotField>
    <pivotField dataField="1" showAll="0"/>
    <pivotField showAll="0"/>
    <pivotField showAll="0"/>
    <pivotField showAll="0"/>
  </pivotFields>
  <rowFields count="1">
    <field x="1"/>
  </rowFields>
  <rowItems count="9">
    <i>
      <x/>
    </i>
    <i>
      <x v="1"/>
    </i>
    <i>
      <x v="2"/>
    </i>
    <i>
      <x v="3"/>
    </i>
    <i>
      <x v="4"/>
    </i>
    <i>
      <x v="5"/>
    </i>
    <i>
      <x v="6"/>
    </i>
    <i>
      <x v="7"/>
    </i>
    <i t="grand">
      <x/>
    </i>
  </rowItems>
  <colItems count="1">
    <i/>
  </colItems>
  <dataFields count="1">
    <dataField name="Sum of Sales" fld="2"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4" cacheId="1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F410:F411" firstHeaderRow="1" firstDataRow="1" firstDataCol="0"/>
  <pivotFields count="6">
    <pivotField showAll="0">
      <items count="366">
        <item x="12"/>
        <item x="13"/>
        <item x="14"/>
        <item x="15"/>
        <item x="16"/>
        <item x="17"/>
        <item x="18"/>
        <item x="19"/>
        <item x="20"/>
        <item x="21"/>
        <item x="22"/>
        <item x="23"/>
        <item x="24"/>
        <item x="25"/>
        <item x="26"/>
        <item x="27"/>
        <item x="28"/>
        <item x="29"/>
        <item x="30"/>
        <item x="285"/>
        <item x="286"/>
        <item x="287"/>
        <item x="288"/>
        <item x="289"/>
        <item x="290"/>
        <item x="291"/>
        <item x="292"/>
        <item x="293"/>
        <item x="294"/>
        <item x="295"/>
        <item x="296"/>
        <item x="297"/>
        <item x="298"/>
        <item x="299"/>
        <item x="300"/>
        <item x="301"/>
        <item x="302"/>
        <item x="303"/>
        <item x="316"/>
        <item x="317"/>
        <item x="318"/>
        <item x="319"/>
        <item x="320"/>
        <item x="321"/>
        <item x="322"/>
        <item x="323"/>
        <item x="324"/>
        <item x="325"/>
        <item x="326"/>
        <item x="327"/>
        <item x="328"/>
        <item x="329"/>
        <item x="330"/>
        <item x="331"/>
        <item x="332"/>
        <item x="333"/>
        <item x="346"/>
        <item x="347"/>
        <item x="348"/>
        <item x="349"/>
        <item x="350"/>
        <item x="351"/>
        <item x="352"/>
        <item x="353"/>
        <item x="354"/>
        <item x="355"/>
        <item x="356"/>
        <item x="357"/>
        <item x="358"/>
        <item x="359"/>
        <item x="360"/>
        <item x="361"/>
        <item x="362"/>
        <item x="363"/>
        <item x="364"/>
        <item x="43"/>
        <item x="44"/>
        <item x="45"/>
        <item x="46"/>
        <item x="47"/>
        <item x="48"/>
        <item x="49"/>
        <item x="50"/>
        <item x="51"/>
        <item x="52"/>
        <item x="53"/>
        <item x="54"/>
        <item x="55"/>
        <item x="56"/>
        <item x="57"/>
        <item x="58"/>
        <item x="71"/>
        <item x="72"/>
        <item x="73"/>
        <item x="74"/>
        <item x="75"/>
        <item x="76"/>
        <item x="77"/>
        <item x="78"/>
        <item x="79"/>
        <item x="80"/>
        <item x="81"/>
        <item x="82"/>
        <item x="83"/>
        <item x="84"/>
        <item x="85"/>
        <item x="86"/>
        <item x="87"/>
        <item x="88"/>
        <item x="89"/>
        <item x="102"/>
        <item x="103"/>
        <item x="104"/>
        <item x="105"/>
        <item x="106"/>
        <item x="107"/>
        <item x="108"/>
        <item x="109"/>
        <item x="110"/>
        <item x="111"/>
        <item x="112"/>
        <item x="113"/>
        <item x="114"/>
        <item x="115"/>
        <item x="116"/>
        <item x="117"/>
        <item x="118"/>
        <item x="119"/>
        <item x="132"/>
        <item x="133"/>
        <item x="134"/>
        <item x="135"/>
        <item x="136"/>
        <item x="137"/>
        <item x="138"/>
        <item x="139"/>
        <item x="140"/>
        <item x="141"/>
        <item x="142"/>
        <item x="143"/>
        <item x="144"/>
        <item x="145"/>
        <item x="146"/>
        <item x="147"/>
        <item x="148"/>
        <item x="149"/>
        <item x="150"/>
        <item x="163"/>
        <item x="164"/>
        <item x="165"/>
        <item x="166"/>
        <item x="167"/>
        <item x="168"/>
        <item x="169"/>
        <item x="170"/>
        <item x="171"/>
        <item x="172"/>
        <item x="173"/>
        <item x="174"/>
        <item x="175"/>
        <item x="176"/>
        <item x="177"/>
        <item x="178"/>
        <item x="179"/>
        <item x="180"/>
        <item x="193"/>
        <item x="194"/>
        <item x="195"/>
        <item x="196"/>
        <item x="197"/>
        <item x="198"/>
        <item x="199"/>
        <item x="200"/>
        <item x="201"/>
        <item x="202"/>
        <item x="203"/>
        <item x="204"/>
        <item x="205"/>
        <item x="206"/>
        <item x="207"/>
        <item x="208"/>
        <item x="209"/>
        <item x="210"/>
        <item x="211"/>
        <item x="224"/>
        <item x="225"/>
        <item x="226"/>
        <item x="227"/>
        <item x="228"/>
        <item x="229"/>
        <item x="230"/>
        <item x="231"/>
        <item x="232"/>
        <item x="233"/>
        <item x="234"/>
        <item x="235"/>
        <item x="236"/>
        <item x="237"/>
        <item x="238"/>
        <item x="239"/>
        <item x="240"/>
        <item x="241"/>
        <item x="242"/>
        <item x="255"/>
        <item x="256"/>
        <item x="257"/>
        <item x="258"/>
        <item x="259"/>
        <item x="260"/>
        <item x="261"/>
        <item x="262"/>
        <item x="263"/>
        <item x="264"/>
        <item x="265"/>
        <item x="266"/>
        <item x="267"/>
        <item x="268"/>
        <item x="269"/>
        <item x="270"/>
        <item x="271"/>
        <item x="272"/>
        <item x="0"/>
        <item x="31"/>
        <item x="59"/>
        <item x="90"/>
        <item x="120"/>
        <item x="151"/>
        <item x="181"/>
        <item x="212"/>
        <item x="243"/>
        <item x="273"/>
        <item x="304"/>
        <item x="334"/>
        <item x="1"/>
        <item x="32"/>
        <item x="60"/>
        <item x="91"/>
        <item x="121"/>
        <item x="152"/>
        <item x="182"/>
        <item x="213"/>
        <item x="244"/>
        <item x="274"/>
        <item x="305"/>
        <item x="335"/>
        <item x="2"/>
        <item x="33"/>
        <item x="61"/>
        <item x="92"/>
        <item x="122"/>
        <item x="153"/>
        <item x="183"/>
        <item x="214"/>
        <item x="245"/>
        <item x="275"/>
        <item x="306"/>
        <item x="336"/>
        <item x="3"/>
        <item x="34"/>
        <item x="62"/>
        <item x="93"/>
        <item x="123"/>
        <item x="154"/>
        <item x="184"/>
        <item x="215"/>
        <item x="246"/>
        <item x="276"/>
        <item x="307"/>
        <item x="337"/>
        <item x="4"/>
        <item x="35"/>
        <item x="63"/>
        <item x="94"/>
        <item x="124"/>
        <item x="155"/>
        <item x="185"/>
        <item x="216"/>
        <item x="247"/>
        <item x="277"/>
        <item x="308"/>
        <item x="338"/>
        <item x="5"/>
        <item x="36"/>
        <item x="64"/>
        <item x="95"/>
        <item x="125"/>
        <item x="156"/>
        <item x="186"/>
        <item x="217"/>
        <item x="248"/>
        <item x="278"/>
        <item x="309"/>
        <item x="339"/>
        <item x="6"/>
        <item x="37"/>
        <item x="65"/>
        <item x="96"/>
        <item x="126"/>
        <item x="157"/>
        <item x="187"/>
        <item x="218"/>
        <item x="249"/>
        <item x="279"/>
        <item x="310"/>
        <item x="340"/>
        <item x="7"/>
        <item x="38"/>
        <item x="66"/>
        <item x="97"/>
        <item x="127"/>
        <item x="158"/>
        <item x="188"/>
        <item x="219"/>
        <item x="250"/>
        <item x="280"/>
        <item x="311"/>
        <item x="341"/>
        <item x="8"/>
        <item x="39"/>
        <item x="67"/>
        <item x="98"/>
        <item x="128"/>
        <item x="159"/>
        <item x="189"/>
        <item x="220"/>
        <item x="251"/>
        <item x="281"/>
        <item x="312"/>
        <item x="342"/>
        <item x="9"/>
        <item x="40"/>
        <item x="68"/>
        <item x="99"/>
        <item x="129"/>
        <item x="160"/>
        <item x="190"/>
        <item x="221"/>
        <item x="252"/>
        <item x="282"/>
        <item x="313"/>
        <item x="343"/>
        <item x="10"/>
        <item x="41"/>
        <item x="69"/>
        <item x="100"/>
        <item x="130"/>
        <item x="161"/>
        <item x="191"/>
        <item x="222"/>
        <item x="253"/>
        <item x="283"/>
        <item x="314"/>
        <item x="344"/>
        <item x="11"/>
        <item x="42"/>
        <item x="70"/>
        <item x="101"/>
        <item x="131"/>
        <item x="162"/>
        <item x="192"/>
        <item x="223"/>
        <item x="254"/>
        <item x="284"/>
        <item x="315"/>
        <item x="345"/>
        <item t="default"/>
      </items>
    </pivotField>
    <pivotField showAll="0"/>
    <pivotField showAll="0"/>
    <pivotField dataField="1" showAll="0"/>
    <pivotField showAll="0"/>
    <pivotField showAll="0"/>
  </pivotFields>
  <rowItems count="1">
    <i/>
  </rowItems>
  <colItems count="1">
    <i/>
  </colItems>
  <dataFields count="1">
    <dataField name="Sum of Quantity" fld="3" baseField="0" baseItem="0"/>
  </dataFields>
  <formats count="1">
    <format dxfId="105">
      <pivotArea field="0" type="button" dataOnly="0" labelOnly="1" outline="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3" cacheId="1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F30:G396" firstHeaderRow="1" firstDataRow="1" firstDataCol="1"/>
  <pivotFields count="6">
    <pivotField axis="axisRow" showAll="0">
      <items count="366">
        <item x="12"/>
        <item x="13"/>
        <item x="14"/>
        <item x="15"/>
        <item x="16"/>
        <item x="17"/>
        <item x="18"/>
        <item x="19"/>
        <item x="20"/>
        <item x="21"/>
        <item x="22"/>
        <item x="23"/>
        <item x="24"/>
        <item x="25"/>
        <item x="26"/>
        <item x="27"/>
        <item x="28"/>
        <item x="29"/>
        <item x="30"/>
        <item x="285"/>
        <item x="286"/>
        <item x="287"/>
        <item x="288"/>
        <item x="289"/>
        <item x="290"/>
        <item x="291"/>
        <item x="292"/>
        <item x="293"/>
        <item x="294"/>
        <item x="295"/>
        <item x="296"/>
        <item x="297"/>
        <item x="298"/>
        <item x="299"/>
        <item x="300"/>
        <item x="301"/>
        <item x="302"/>
        <item x="303"/>
        <item x="316"/>
        <item x="317"/>
        <item x="318"/>
        <item x="319"/>
        <item x="320"/>
        <item x="321"/>
        <item x="322"/>
        <item x="323"/>
        <item x="324"/>
        <item x="325"/>
        <item x="326"/>
        <item x="327"/>
        <item x="328"/>
        <item x="329"/>
        <item x="330"/>
        <item x="331"/>
        <item x="332"/>
        <item x="333"/>
        <item x="346"/>
        <item x="347"/>
        <item x="348"/>
        <item x="349"/>
        <item x="350"/>
        <item x="351"/>
        <item x="352"/>
        <item x="353"/>
        <item x="354"/>
        <item x="355"/>
        <item x="356"/>
        <item x="357"/>
        <item x="358"/>
        <item x="359"/>
        <item x="360"/>
        <item x="361"/>
        <item x="362"/>
        <item x="363"/>
        <item x="364"/>
        <item x="43"/>
        <item x="44"/>
        <item x="45"/>
        <item x="46"/>
        <item x="47"/>
        <item x="48"/>
        <item x="49"/>
        <item x="50"/>
        <item x="51"/>
        <item x="52"/>
        <item x="53"/>
        <item x="54"/>
        <item x="55"/>
        <item x="56"/>
        <item x="57"/>
        <item x="58"/>
        <item x="71"/>
        <item x="72"/>
        <item x="73"/>
        <item x="74"/>
        <item x="75"/>
        <item x="76"/>
        <item x="77"/>
        <item x="78"/>
        <item x="79"/>
        <item x="80"/>
        <item x="81"/>
        <item x="82"/>
        <item x="83"/>
        <item x="84"/>
        <item x="85"/>
        <item x="86"/>
        <item x="87"/>
        <item x="88"/>
        <item x="89"/>
        <item x="102"/>
        <item x="103"/>
        <item x="104"/>
        <item x="105"/>
        <item x="106"/>
        <item x="107"/>
        <item x="108"/>
        <item x="109"/>
        <item x="110"/>
        <item x="111"/>
        <item x="112"/>
        <item x="113"/>
        <item x="114"/>
        <item x="115"/>
        <item x="116"/>
        <item x="117"/>
        <item x="118"/>
        <item x="119"/>
        <item x="132"/>
        <item x="133"/>
        <item x="134"/>
        <item x="135"/>
        <item x="136"/>
        <item x="137"/>
        <item x="138"/>
        <item x="139"/>
        <item x="140"/>
        <item x="141"/>
        <item x="142"/>
        <item x="143"/>
        <item x="144"/>
        <item x="145"/>
        <item x="146"/>
        <item x="147"/>
        <item x="148"/>
        <item x="149"/>
        <item x="150"/>
        <item x="163"/>
        <item x="164"/>
        <item x="165"/>
        <item x="166"/>
        <item x="167"/>
        <item x="168"/>
        <item x="169"/>
        <item x="170"/>
        <item x="171"/>
        <item x="172"/>
        <item x="173"/>
        <item x="174"/>
        <item x="175"/>
        <item x="176"/>
        <item x="177"/>
        <item x="178"/>
        <item x="179"/>
        <item x="180"/>
        <item x="193"/>
        <item x="194"/>
        <item x="195"/>
        <item x="196"/>
        <item x="197"/>
        <item x="198"/>
        <item x="199"/>
        <item x="200"/>
        <item x="201"/>
        <item x="202"/>
        <item x="203"/>
        <item x="204"/>
        <item x="205"/>
        <item x="206"/>
        <item x="207"/>
        <item x="208"/>
        <item x="209"/>
        <item x="210"/>
        <item x="211"/>
        <item x="224"/>
        <item x="225"/>
        <item x="226"/>
        <item x="227"/>
        <item x="228"/>
        <item x="229"/>
        <item x="230"/>
        <item x="231"/>
        <item x="232"/>
        <item x="233"/>
        <item x="234"/>
        <item x="235"/>
        <item x="236"/>
        <item x="237"/>
        <item x="238"/>
        <item x="239"/>
        <item x="240"/>
        <item x="241"/>
        <item x="242"/>
        <item x="255"/>
        <item x="256"/>
        <item x="257"/>
        <item x="258"/>
        <item x="259"/>
        <item x="260"/>
        <item x="261"/>
        <item x="262"/>
        <item x="263"/>
        <item x="264"/>
        <item x="265"/>
        <item x="266"/>
        <item x="267"/>
        <item x="268"/>
        <item x="269"/>
        <item x="270"/>
        <item x="271"/>
        <item x="272"/>
        <item x="0"/>
        <item x="31"/>
        <item x="59"/>
        <item x="90"/>
        <item x="120"/>
        <item x="151"/>
        <item x="181"/>
        <item x="212"/>
        <item x="243"/>
        <item x="273"/>
        <item x="304"/>
        <item x="334"/>
        <item x="1"/>
        <item x="32"/>
        <item x="60"/>
        <item x="91"/>
        <item x="121"/>
        <item x="152"/>
        <item x="182"/>
        <item x="213"/>
        <item x="244"/>
        <item x="274"/>
        <item x="305"/>
        <item x="335"/>
        <item x="2"/>
        <item x="33"/>
        <item x="61"/>
        <item x="92"/>
        <item x="122"/>
        <item x="153"/>
        <item x="183"/>
        <item x="214"/>
        <item x="245"/>
        <item x="275"/>
        <item x="306"/>
        <item x="336"/>
        <item x="3"/>
        <item x="34"/>
        <item x="62"/>
        <item x="93"/>
        <item x="123"/>
        <item x="154"/>
        <item x="184"/>
        <item x="215"/>
        <item x="246"/>
        <item x="276"/>
        <item x="307"/>
        <item x="337"/>
        <item x="4"/>
        <item x="35"/>
        <item x="63"/>
        <item x="94"/>
        <item x="124"/>
        <item x="155"/>
        <item x="185"/>
        <item x="216"/>
        <item x="247"/>
        <item x="277"/>
        <item x="308"/>
        <item x="338"/>
        <item x="5"/>
        <item x="36"/>
        <item x="64"/>
        <item x="95"/>
        <item x="125"/>
        <item x="156"/>
        <item x="186"/>
        <item x="217"/>
        <item x="248"/>
        <item x="278"/>
        <item x="309"/>
        <item x="339"/>
        <item x="6"/>
        <item x="37"/>
        <item x="65"/>
        <item x="96"/>
        <item x="126"/>
        <item x="157"/>
        <item x="187"/>
        <item x="218"/>
        <item x="249"/>
        <item x="279"/>
        <item x="310"/>
        <item x="340"/>
        <item x="7"/>
        <item x="38"/>
        <item x="66"/>
        <item x="97"/>
        <item x="127"/>
        <item x="158"/>
        <item x="188"/>
        <item x="219"/>
        <item x="250"/>
        <item x="280"/>
        <item x="311"/>
        <item x="341"/>
        <item x="8"/>
        <item x="39"/>
        <item x="67"/>
        <item x="98"/>
        <item x="128"/>
        <item x="159"/>
        <item x="189"/>
        <item x="220"/>
        <item x="251"/>
        <item x="281"/>
        <item x="312"/>
        <item x="342"/>
        <item x="9"/>
        <item x="40"/>
        <item x="68"/>
        <item x="99"/>
        <item x="129"/>
        <item x="160"/>
        <item x="190"/>
        <item x="221"/>
        <item x="252"/>
        <item x="282"/>
        <item x="313"/>
        <item x="343"/>
        <item x="10"/>
        <item x="41"/>
        <item x="69"/>
        <item x="100"/>
        <item x="130"/>
        <item x="161"/>
        <item x="191"/>
        <item x="222"/>
        <item x="253"/>
        <item x="283"/>
        <item x="314"/>
        <item x="344"/>
        <item x="11"/>
        <item x="42"/>
        <item x="70"/>
        <item x="101"/>
        <item x="131"/>
        <item x="162"/>
        <item x="192"/>
        <item x="223"/>
        <item x="254"/>
        <item x="284"/>
        <item x="315"/>
        <item x="345"/>
        <item t="default"/>
      </items>
    </pivotField>
    <pivotField showAll="0"/>
    <pivotField showAll="0"/>
    <pivotField dataField="1" showAll="0"/>
    <pivotField showAll="0"/>
    <pivotField showAll="0"/>
  </pivotFields>
  <rowFields count="1">
    <field x="0"/>
  </rowFields>
  <rowItems count="36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t="grand">
      <x/>
    </i>
  </rowItems>
  <colItems count="1">
    <i/>
  </colItems>
  <dataFields count="1">
    <dataField name="Sum of Quantity"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2" cacheId="1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F20:G26" firstHeaderRow="1" firstDataRow="1" firstDataCol="1"/>
  <pivotFields count="6">
    <pivotField showAll="0"/>
    <pivotField showAll="0"/>
    <pivotField dataField="1" showAll="0"/>
    <pivotField showAll="0"/>
    <pivotField showAll="0"/>
    <pivotField axis="axisRow" showAll="0">
      <items count="6">
        <item x="1"/>
        <item x="0"/>
        <item x="2"/>
        <item x="4"/>
        <item x="3"/>
        <item t="default"/>
      </items>
    </pivotField>
  </pivotFields>
  <rowFields count="1">
    <field x="5"/>
  </rowFields>
  <rowItems count="6">
    <i>
      <x/>
    </i>
    <i>
      <x v="1"/>
    </i>
    <i>
      <x v="2"/>
    </i>
    <i>
      <x v="3"/>
    </i>
    <i>
      <x v="4"/>
    </i>
    <i t="grand">
      <x/>
    </i>
  </rowItems>
  <colItems count="1">
    <i/>
  </colItems>
  <dataFields count="1">
    <dataField name="Sum of Sales" fld="2"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 cacheId="1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F3:G12" firstHeaderRow="1" firstDataRow="1" firstDataCol="1"/>
  <pivotFields count="6">
    <pivotField showAll="0"/>
    <pivotField axis="axisRow" showAll="0">
      <items count="9">
        <item x="7"/>
        <item x="5"/>
        <item x="1"/>
        <item x="0"/>
        <item x="2"/>
        <item x="6"/>
        <item x="3"/>
        <item x="4"/>
        <item t="default"/>
      </items>
    </pivotField>
    <pivotField dataField="1" showAll="0"/>
    <pivotField showAll="0"/>
    <pivotField showAll="0"/>
    <pivotField showAll="0"/>
  </pivotFields>
  <rowFields count="1">
    <field x="1"/>
  </rowFields>
  <rowItems count="9">
    <i>
      <x/>
    </i>
    <i>
      <x v="1"/>
    </i>
    <i>
      <x v="2"/>
    </i>
    <i>
      <x v="3"/>
    </i>
    <i>
      <x v="4"/>
    </i>
    <i>
      <x v="5"/>
    </i>
    <i>
      <x v="6"/>
    </i>
    <i>
      <x v="7"/>
    </i>
    <i t="grand">
      <x/>
    </i>
  </rowItems>
  <colItems count="1">
    <i/>
  </colItems>
  <dataFields count="1">
    <dataField name="Sum of Sales" fld="2"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8" name="PivotTable1"/>
    <pivotTable tabId="10" name="PivotTable3"/>
    <pivotTable tabId="9" name="PivotTable2"/>
  </pivotTables>
  <data>
    <tabular pivotCacheId="1">
      <items count="8">
        <i x="5"/>
        <i x="1" s="1"/>
        <i x="0"/>
        <i x="2"/>
        <i x="3"/>
        <i x="4"/>
        <i x="7" nd="1"/>
        <i x="6"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9" name="PivotTable2"/>
    <pivotTable tabId="10" name="PivotTable3"/>
    <pivotTable tabId="8" name="PivotTable1"/>
  </pivotTables>
  <data>
    <tabular pivotCacheId="1">
      <items count="5">
        <i x="1"/>
        <i x="0" s="1"/>
        <i x="2"/>
        <i x="3"/>
        <i x="4"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rowHeight="241300"/>
  <slicer name="Region" cache="Slicer_Region" caption="Region" rowHeight="241300"/>
</slicers>
</file>

<file path=xl/tables/table1.xml><?xml version="1.0" encoding="utf-8"?>
<table xmlns="http://schemas.openxmlformats.org/spreadsheetml/2006/main" id="1" name="RetailSales" displayName="RetailSales" ref="A1:L388" totalsRowShown="0">
  <autoFilter ref="A1:L388"/>
  <tableColumns count="12">
    <tableColumn id="1" name="Date"/>
    <tableColumn id="2" name="Category"/>
    <tableColumn id="3" name="Sales"/>
    <tableColumn id="4" name="Quantity"/>
    <tableColumn id="5" name="Profit"/>
    <tableColumn id="6" name="Region"/>
    <tableColumn id="7" name="Average Daily Demand" dataDxfId="145">
      <calculatedColumnFormula>AVERAGE(D2:D22)</calculatedColumnFormula>
    </tableColumn>
    <tableColumn id="8" name="Lead Time"/>
    <tableColumn id="9" name="Standard Deviation of Demand" dataDxfId="144">
      <calculatedColumnFormula>STDEV(D2:D22)</calculatedColumnFormula>
    </tableColumn>
    <tableColumn id="10" name="Safety Stock" dataDxfId="143">
      <calculatedColumnFormula>1.65 * $H$2 * SQRT(I2)</calculatedColumnFormula>
    </tableColumn>
    <tableColumn id="11" name="Reorder Point" dataDxfId="142">
      <calculatedColumnFormula>($G$2 * I2) + J2</calculatedColumnFormula>
    </tableColumn>
    <tableColumn id="12" name="Month" dataDxfId="141">
      <calculatedColumnFormula>TEXT(A2,"mmm")</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5" name="Table5" displayName="Table5" ref="A1:E485" totalsRowShown="0">
  <autoFilter ref="A1:E485"/>
  <tableColumns count="5">
    <tableColumn id="1" name="Date" dataDxfId="109"/>
    <tableColumn id="2" name="Profit"/>
    <tableColumn id="3" name="Forecast(Profit)" dataDxfId="108">
      <calculatedColumnFormula>_xlfn.FORECAST.ETS(A2,$B$2:$B$388,$A$2:$A$388,1,1)</calculatedColumnFormula>
    </tableColumn>
    <tableColumn id="4" name="Lower Confidence Bound(Profit)" dataDxfId="107">
      <calculatedColumnFormula>C2-_xlfn.FORECAST.ETS.CONFINT(A2,$B$2:$B$388,$A$2:$A$388,0.95,1,1)</calculatedColumnFormula>
    </tableColumn>
    <tableColumn id="5" name="Upper Confidence Bound(Profit)" dataDxfId="106">
      <calculatedColumnFormula>C2+_xlfn.FORECAST.ETS.CONFINT(A2,$B$2:$B$388,$A$2:$A$388,0.95,1,1)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rinterSettings" Target="../printerSettings/printerSettings3.bin"/><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88"/>
  <sheetViews>
    <sheetView topLeftCell="A2" workbookViewId="0">
      <selection activeCell="D185" sqref="D185"/>
    </sheetView>
  </sheetViews>
  <sheetFormatPr defaultRowHeight="15" x14ac:dyDescent="0.25"/>
  <cols>
    <col min="1" max="1" width="10.7109375" bestFit="1" customWidth="1"/>
    <col min="2" max="2" width="11" customWidth="1"/>
    <col min="4" max="4" width="10.85546875" customWidth="1"/>
    <col min="6" max="6" width="9.28515625" customWidth="1"/>
    <col min="7" max="7" width="21.42578125" bestFit="1" customWidth="1"/>
    <col min="8" max="8" width="10" bestFit="1" customWidth="1"/>
    <col min="9" max="9" width="28.5703125" bestFit="1" customWidth="1"/>
    <col min="10" max="10" width="11.7109375" bestFit="1" customWidth="1"/>
    <col min="11" max="11" width="13.42578125" bestFit="1" customWidth="1"/>
  </cols>
  <sheetData>
    <row r="1" spans="1:12" x14ac:dyDescent="0.25">
      <c r="A1" s="1" t="s">
        <v>0</v>
      </c>
      <c r="B1" s="3" t="s">
        <v>1</v>
      </c>
      <c r="C1" s="2" t="s">
        <v>2</v>
      </c>
      <c r="D1" s="2" t="s">
        <v>3</v>
      </c>
      <c r="E1" s="2" t="s">
        <v>4</v>
      </c>
      <c r="F1" s="3" t="s">
        <v>5</v>
      </c>
      <c r="G1" s="8" t="s">
        <v>20</v>
      </c>
      <c r="H1" s="8" t="s">
        <v>21</v>
      </c>
      <c r="I1" s="8" t="s">
        <v>22</v>
      </c>
      <c r="J1" s="8" t="s">
        <v>23</v>
      </c>
      <c r="K1" s="8" t="s">
        <v>24</v>
      </c>
      <c r="L1" t="s">
        <v>30</v>
      </c>
    </row>
    <row r="2" spans="1:12" x14ac:dyDescent="0.25">
      <c r="A2" s="1">
        <v>44927</v>
      </c>
      <c r="B2" t="s">
        <v>6</v>
      </c>
      <c r="C2">
        <v>1149.01424590336</v>
      </c>
      <c r="D2">
        <v>11</v>
      </c>
      <c r="E2">
        <v>383.66424460000002</v>
      </c>
      <c r="F2" t="s">
        <v>7</v>
      </c>
      <c r="G2">
        <f t="shared" ref="G2:G65" si="0">AVERAGE(D2:D22)</f>
        <v>9.0952380952380949</v>
      </c>
      <c r="H2">
        <v>7</v>
      </c>
      <c r="I2">
        <f>STDEV(D2:D22)</f>
        <v>6.0490062151130406</v>
      </c>
      <c r="J2">
        <f>1.65 * $H$2 * SQRT(I2)</f>
        <v>28.406910279219336</v>
      </c>
      <c r="K2">
        <f>($G$2 * I2) + J2</f>
        <v>83.424062045247467</v>
      </c>
      <c r="L2" s="6" t="str">
        <f t="shared" ref="L2:L65" si="1">TEXT(A2,"mmm")</f>
        <v>Jan</v>
      </c>
    </row>
    <row r="3" spans="1:12" x14ac:dyDescent="0.25">
      <c r="A3" s="1">
        <v>44928</v>
      </c>
      <c r="B3" t="s">
        <v>6</v>
      </c>
      <c r="C3">
        <v>722.77514867586797</v>
      </c>
      <c r="D3">
        <v>10</v>
      </c>
      <c r="E3">
        <v>82.396149367770505</v>
      </c>
      <c r="F3" t="s">
        <v>11</v>
      </c>
      <c r="G3">
        <f t="shared" si="0"/>
        <v>9.1904761904761898</v>
      </c>
      <c r="H3">
        <v>7</v>
      </c>
      <c r="I3">
        <f t="shared" ref="I3:I13" si="2">STDEV(D3:D23)</f>
        <v>6.0960564926766185</v>
      </c>
      <c r="J3">
        <f t="shared" ref="J3:J15" si="3">1.65 * $H$2 * SQRT(I3)</f>
        <v>28.517173356843983</v>
      </c>
      <c r="K3">
        <f t="shared" ref="K3:K65" si="4">($G$2 * I3) + J3</f>
        <v>83.962258599759892</v>
      </c>
      <c r="L3" s="6" t="str">
        <f t="shared" si="1"/>
        <v>Jan</v>
      </c>
    </row>
    <row r="4" spans="1:12" x14ac:dyDescent="0.25">
      <c r="A4" s="1">
        <v>44929</v>
      </c>
      <c r="B4" t="s">
        <v>13</v>
      </c>
      <c r="C4">
        <v>1246.7634736309501</v>
      </c>
      <c r="D4">
        <v>2</v>
      </c>
      <c r="E4">
        <v>283.69699183768898</v>
      </c>
      <c r="F4" t="s">
        <v>10</v>
      </c>
      <c r="G4">
        <f t="shared" si="0"/>
        <v>8.9047619047619051</v>
      </c>
      <c r="H4">
        <v>7</v>
      </c>
      <c r="I4">
        <f t="shared" si="2"/>
        <v>6.1960048572024373</v>
      </c>
      <c r="J4">
        <f t="shared" si="3"/>
        <v>28.750000660225172</v>
      </c>
      <c r="K4">
        <f t="shared" si="4"/>
        <v>85.104140075733056</v>
      </c>
      <c r="L4" s="6" t="str">
        <f t="shared" si="1"/>
        <v>Jan</v>
      </c>
    </row>
    <row r="5" spans="1:12" x14ac:dyDescent="0.25">
      <c r="A5" s="1">
        <v>44930</v>
      </c>
      <c r="B5" t="s">
        <v>13</v>
      </c>
      <c r="C5">
        <v>839</v>
      </c>
      <c r="D5">
        <v>13</v>
      </c>
      <c r="E5">
        <v>102.610250599933</v>
      </c>
      <c r="F5" t="s">
        <v>9</v>
      </c>
      <c r="G5">
        <f t="shared" si="0"/>
        <v>8.9047619047619051</v>
      </c>
      <c r="H5">
        <v>7</v>
      </c>
      <c r="I5">
        <f t="shared" si="2"/>
        <v>6.1960048572024373</v>
      </c>
      <c r="J5">
        <f t="shared" si="3"/>
        <v>28.750000660225172</v>
      </c>
      <c r="K5">
        <f t="shared" si="4"/>
        <v>85.104140075733056</v>
      </c>
      <c r="L5" s="6" t="str">
        <f t="shared" si="1"/>
        <v>Jan</v>
      </c>
    </row>
    <row r="6" spans="1:12" x14ac:dyDescent="0.25">
      <c r="A6" s="1">
        <v>44931</v>
      </c>
      <c r="B6" t="s">
        <v>6</v>
      </c>
      <c r="C6">
        <v>856</v>
      </c>
      <c r="D6">
        <v>5</v>
      </c>
      <c r="E6">
        <v>273.04186276714802</v>
      </c>
      <c r="F6" t="s">
        <v>11</v>
      </c>
      <c r="G6">
        <f t="shared" si="0"/>
        <v>8.9047619047619051</v>
      </c>
      <c r="H6">
        <v>7</v>
      </c>
      <c r="I6">
        <f t="shared" si="2"/>
        <v>6.1960048572024373</v>
      </c>
      <c r="J6">
        <f t="shared" si="3"/>
        <v>28.750000660225172</v>
      </c>
      <c r="K6">
        <f t="shared" si="4"/>
        <v>85.104140075733056</v>
      </c>
      <c r="L6" s="6" t="str">
        <f t="shared" si="1"/>
        <v>Jan</v>
      </c>
    </row>
    <row r="7" spans="1:12" x14ac:dyDescent="0.25">
      <c r="A7" s="1">
        <v>44932</v>
      </c>
      <c r="B7" t="s">
        <v>6</v>
      </c>
      <c r="C7">
        <v>916</v>
      </c>
      <c r="D7">
        <v>4</v>
      </c>
      <c r="E7">
        <v>340.90921960487702</v>
      </c>
      <c r="F7" t="s">
        <v>9</v>
      </c>
      <c r="G7">
        <f t="shared" si="0"/>
        <v>9.5238095238095237</v>
      </c>
      <c r="H7">
        <v>7</v>
      </c>
      <c r="I7">
        <f t="shared" si="2"/>
        <v>6.4313221628141717</v>
      </c>
      <c r="J7">
        <f t="shared" si="3"/>
        <v>29.290859578114421</v>
      </c>
      <c r="K7">
        <f t="shared" si="4"/>
        <v>87.785265916090935</v>
      </c>
      <c r="L7" s="6" t="str">
        <f t="shared" si="1"/>
        <v>Jan</v>
      </c>
    </row>
    <row r="8" spans="1:12" x14ac:dyDescent="0.25">
      <c r="A8" s="1">
        <v>44933</v>
      </c>
      <c r="B8" t="s">
        <v>6</v>
      </c>
      <c r="C8">
        <v>1411.5586400649299</v>
      </c>
      <c r="D8">
        <v>7</v>
      </c>
      <c r="E8">
        <v>525.16832052265102</v>
      </c>
      <c r="F8" t="s">
        <v>7</v>
      </c>
      <c r="G8">
        <f t="shared" si="0"/>
        <v>9.5238095238095237</v>
      </c>
      <c r="H8">
        <v>7</v>
      </c>
      <c r="I8">
        <f t="shared" si="2"/>
        <v>6.4313221628141717</v>
      </c>
      <c r="J8">
        <f t="shared" si="3"/>
        <v>29.290859578114421</v>
      </c>
      <c r="K8">
        <f t="shared" si="4"/>
        <v>87.785265916090935</v>
      </c>
      <c r="L8" s="6" t="str">
        <f t="shared" si="1"/>
        <v>Jan</v>
      </c>
    </row>
    <row r="9" spans="1:12" x14ac:dyDescent="0.25">
      <c r="A9" s="1">
        <v>44934</v>
      </c>
      <c r="B9" t="s">
        <v>6</v>
      </c>
      <c r="C9">
        <v>393.30552004127901</v>
      </c>
      <c r="D9">
        <v>17</v>
      </c>
      <c r="E9">
        <v>69.290452181311196</v>
      </c>
      <c r="F9" t="s">
        <v>11</v>
      </c>
      <c r="G9">
        <f t="shared" si="0"/>
        <v>9.8095238095238102</v>
      </c>
      <c r="H9">
        <v>7</v>
      </c>
      <c r="I9">
        <f t="shared" si="2"/>
        <v>6.4468523142619576</v>
      </c>
      <c r="J9">
        <f t="shared" si="3"/>
        <v>29.326203570413451</v>
      </c>
      <c r="K9">
        <f t="shared" si="4"/>
        <v>87.961860333462681</v>
      </c>
      <c r="L9" s="6" t="str">
        <f t="shared" si="1"/>
        <v>Jan</v>
      </c>
    </row>
    <row r="10" spans="1:12" x14ac:dyDescent="0.25">
      <c r="A10" s="1">
        <v>44935</v>
      </c>
      <c r="B10" t="s">
        <v>6</v>
      </c>
      <c r="C10">
        <v>1101.94628925599</v>
      </c>
      <c r="D10">
        <v>0</v>
      </c>
      <c r="E10">
        <v>136.92343580350101</v>
      </c>
      <c r="F10" t="s">
        <v>11</v>
      </c>
      <c r="G10">
        <f t="shared" si="0"/>
        <v>9.6666666666666661</v>
      </c>
      <c r="H10">
        <v>7</v>
      </c>
      <c r="I10">
        <f t="shared" si="2"/>
        <v>6.3113654095871627</v>
      </c>
      <c r="J10">
        <f t="shared" si="3"/>
        <v>29.016407841985735</v>
      </c>
      <c r="K10">
        <f t="shared" si="4"/>
        <v>86.419778948230885</v>
      </c>
      <c r="L10" s="6" t="str">
        <f t="shared" si="1"/>
        <v>Jan</v>
      </c>
    </row>
    <row r="11" spans="1:12" x14ac:dyDescent="0.25">
      <c r="A11" s="1">
        <v>44936</v>
      </c>
      <c r="B11" t="s">
        <v>6</v>
      </c>
      <c r="C11">
        <v>0</v>
      </c>
      <c r="D11">
        <v>19</v>
      </c>
      <c r="E11">
        <v>258.22066110469001</v>
      </c>
      <c r="F11" t="s">
        <v>9</v>
      </c>
      <c r="G11">
        <f t="shared" si="0"/>
        <v>10.238095238095237</v>
      </c>
      <c r="H11">
        <v>7</v>
      </c>
      <c r="I11">
        <f t="shared" si="2"/>
        <v>5.9237214815077355</v>
      </c>
      <c r="J11">
        <f t="shared" si="3"/>
        <v>28.111194477233365</v>
      </c>
      <c r="K11">
        <f t="shared" si="4"/>
        <v>81.988851761422765</v>
      </c>
      <c r="L11" s="6" t="str">
        <f t="shared" si="1"/>
        <v>Jan</v>
      </c>
    </row>
    <row r="12" spans="1:12" x14ac:dyDescent="0.25">
      <c r="A12" s="1">
        <v>44937</v>
      </c>
      <c r="B12" t="s">
        <v>6</v>
      </c>
      <c r="C12">
        <v>486.84112644249001</v>
      </c>
      <c r="D12">
        <v>1</v>
      </c>
      <c r="E12">
        <v>62.2819895503103</v>
      </c>
      <c r="F12" t="s">
        <v>11</v>
      </c>
      <c r="G12">
        <f t="shared" si="0"/>
        <v>9.6190476190476186</v>
      </c>
      <c r="H12">
        <v>7</v>
      </c>
      <c r="I12">
        <f t="shared" si="2"/>
        <v>5.6345025554718715</v>
      </c>
      <c r="J12">
        <f t="shared" si="3"/>
        <v>27.416358750868728</v>
      </c>
      <c r="K12">
        <f t="shared" si="4"/>
        <v>78.663501041112895</v>
      </c>
      <c r="L12" s="6" t="str">
        <f t="shared" si="1"/>
        <v>Jan</v>
      </c>
    </row>
    <row r="13" spans="1:12" x14ac:dyDescent="0.25">
      <c r="A13" s="1">
        <v>44938</v>
      </c>
      <c r="B13" t="s">
        <v>6</v>
      </c>
      <c r="C13">
        <v>1536.5781571976299</v>
      </c>
      <c r="D13">
        <v>18</v>
      </c>
      <c r="E13">
        <v>227.78605751265599</v>
      </c>
      <c r="F13" t="s">
        <v>10</v>
      </c>
      <c r="G13">
        <f t="shared" si="0"/>
        <v>10.285714285714286</v>
      </c>
      <c r="H13">
        <v>7</v>
      </c>
      <c r="I13">
        <f t="shared" si="2"/>
        <v>5.3864910390982468</v>
      </c>
      <c r="J13">
        <f t="shared" si="3"/>
        <v>26.806181578943757</v>
      </c>
      <c r="K13">
        <f t="shared" si="4"/>
        <v>75.797600077408759</v>
      </c>
      <c r="L13" s="6" t="str">
        <f t="shared" si="1"/>
        <v>Jan</v>
      </c>
    </row>
    <row r="14" spans="1:12" x14ac:dyDescent="0.25">
      <c r="A14" s="1">
        <v>44939</v>
      </c>
      <c r="B14" t="s">
        <v>6</v>
      </c>
      <c r="C14">
        <v>589</v>
      </c>
      <c r="D14">
        <v>14</v>
      </c>
      <c r="E14">
        <v>163.140892452023</v>
      </c>
      <c r="F14" t="s">
        <v>10</v>
      </c>
      <c r="G14">
        <f t="shared" si="0"/>
        <v>9.7142857142857135</v>
      </c>
      <c r="H14">
        <v>7</v>
      </c>
      <c r="I14">
        <f t="shared" ref="I14:I65" si="5">STDEV(D14:D34)</f>
        <v>5.158903537989997</v>
      </c>
      <c r="J14">
        <f t="shared" si="3"/>
        <v>26.233768871946527</v>
      </c>
      <c r="K14">
        <f t="shared" si="4"/>
        <v>73.155224860331742</v>
      </c>
      <c r="L14" s="6" t="str">
        <f t="shared" si="1"/>
        <v>Jan</v>
      </c>
    </row>
    <row r="15" spans="1:12" x14ac:dyDescent="0.25">
      <c r="A15" s="1">
        <v>44940</v>
      </c>
      <c r="B15" t="s">
        <v>6</v>
      </c>
      <c r="C15">
        <v>990.64396054994597</v>
      </c>
      <c r="D15">
        <v>14</v>
      </c>
      <c r="E15">
        <v>370.95586092322299</v>
      </c>
      <c r="F15" t="s">
        <v>9</v>
      </c>
      <c r="G15">
        <f t="shared" si="0"/>
        <v>9.7619047619047628</v>
      </c>
      <c r="H15">
        <v>7</v>
      </c>
      <c r="I15">
        <f t="shared" si="5"/>
        <v>5.2048512169394616</v>
      </c>
      <c r="J15">
        <f t="shared" si="3"/>
        <v>26.350335187009794</v>
      </c>
      <c r="K15">
        <f t="shared" si="4"/>
        <v>73.689696255363941</v>
      </c>
      <c r="L15" s="6" t="str">
        <f t="shared" si="1"/>
        <v>Jan</v>
      </c>
    </row>
    <row r="16" spans="1:12" x14ac:dyDescent="0.25">
      <c r="A16" s="1">
        <v>44941</v>
      </c>
      <c r="B16" t="s">
        <v>6</v>
      </c>
      <c r="C16">
        <v>608.29073378767202</v>
      </c>
      <c r="D16">
        <v>10</v>
      </c>
      <c r="E16">
        <v>220.93844629734701</v>
      </c>
      <c r="F16" t="s">
        <v>7</v>
      </c>
      <c r="G16">
        <f t="shared" si="0"/>
        <v>9.3333333333333339</v>
      </c>
      <c r="H16">
        <v>7</v>
      </c>
      <c r="I16">
        <f t="shared" si="5"/>
        <v>5.2089666281646823</v>
      </c>
      <c r="J16">
        <f t="shared" ref="J16:J65" si="6">1.65 * $H$2 * SQRT(I16)</f>
        <v>26.360750569999688</v>
      </c>
      <c r="K16">
        <f t="shared" si="4"/>
        <v>73.737542283307036</v>
      </c>
      <c r="L16" s="6" t="str">
        <f t="shared" si="1"/>
        <v>Jan</v>
      </c>
    </row>
    <row r="17" spans="1:12" x14ac:dyDescent="0.25">
      <c r="A17" s="1">
        <v>44942</v>
      </c>
      <c r="B17" t="s">
        <v>6</v>
      </c>
      <c r="C17">
        <v>1148.4986962574999</v>
      </c>
      <c r="D17">
        <v>14</v>
      </c>
      <c r="E17">
        <v>421.50086204765802</v>
      </c>
      <c r="F17" t="s">
        <v>9</v>
      </c>
      <c r="G17">
        <f t="shared" si="0"/>
        <v>9.6666666666666661</v>
      </c>
      <c r="H17">
        <v>7</v>
      </c>
      <c r="I17">
        <f t="shared" si="5"/>
        <v>5.4711363840918219</v>
      </c>
      <c r="J17">
        <f t="shared" si="6"/>
        <v>27.015981778917624</v>
      </c>
      <c r="K17">
        <f t="shared" si="4"/>
        <v>76.777269843752762</v>
      </c>
      <c r="L17" s="6" t="str">
        <f t="shared" si="1"/>
        <v>Jan</v>
      </c>
    </row>
    <row r="18" spans="1:12" x14ac:dyDescent="0.25">
      <c r="A18" s="1">
        <v>44943</v>
      </c>
      <c r="B18" t="s">
        <v>6</v>
      </c>
      <c r="C18">
        <v>1716.7107872177301</v>
      </c>
      <c r="D18">
        <v>8</v>
      </c>
      <c r="E18">
        <v>545.61772625387596</v>
      </c>
      <c r="F18" t="s">
        <v>13</v>
      </c>
      <c r="G18">
        <f t="shared" si="0"/>
        <v>9.4285714285714288</v>
      </c>
      <c r="H18">
        <v>7</v>
      </c>
      <c r="I18">
        <f t="shared" si="5"/>
        <v>5.3811841500865638</v>
      </c>
      <c r="J18">
        <f t="shared" si="6"/>
        <v>26.792973306109992</v>
      </c>
      <c r="K18">
        <f t="shared" si="4"/>
        <v>75.736124385468742</v>
      </c>
      <c r="L18" s="6" t="str">
        <f t="shared" si="1"/>
        <v>Jan</v>
      </c>
    </row>
    <row r="19" spans="1:12" x14ac:dyDescent="0.25">
      <c r="A19" s="1">
        <v>44944</v>
      </c>
      <c r="B19" t="s">
        <v>6</v>
      </c>
      <c r="C19">
        <v>1259.7265582510299</v>
      </c>
      <c r="D19">
        <v>15</v>
      </c>
      <c r="E19">
        <v>220.54394327459801</v>
      </c>
      <c r="F19" t="s">
        <v>10</v>
      </c>
      <c r="G19">
        <f t="shared" si="0"/>
        <v>9.9523809523809526</v>
      </c>
      <c r="H19">
        <v>7</v>
      </c>
      <c r="I19">
        <f t="shared" si="5"/>
        <v>5.7573968985661423</v>
      </c>
      <c r="J19">
        <f t="shared" si="6"/>
        <v>27.713735579329061</v>
      </c>
      <c r="K19">
        <f t="shared" si="4"/>
        <v>80.078631180573495</v>
      </c>
      <c r="L19" s="6" t="str">
        <f t="shared" si="1"/>
        <v>Jan</v>
      </c>
    </row>
    <row r="20" spans="1:12" x14ac:dyDescent="0.25">
      <c r="A20" s="1">
        <v>44945</v>
      </c>
      <c r="B20" t="s">
        <v>13</v>
      </c>
      <c r="C20">
        <v>1209.7277145579901</v>
      </c>
      <c r="D20">
        <v>4</v>
      </c>
      <c r="E20">
        <v>183.830902128823</v>
      </c>
      <c r="F20" t="s">
        <v>10</v>
      </c>
      <c r="G20">
        <f t="shared" si="0"/>
        <v>9.7142857142857135</v>
      </c>
      <c r="H20">
        <v>7</v>
      </c>
      <c r="I20">
        <f t="shared" si="5"/>
        <v>5.6404153849061247</v>
      </c>
      <c r="J20">
        <f t="shared" si="6"/>
        <v>27.430740299615309</v>
      </c>
      <c r="K20">
        <f t="shared" si="4"/>
        <v>78.731661181380531</v>
      </c>
      <c r="L20" s="6" t="str">
        <f t="shared" si="1"/>
        <v>Jan</v>
      </c>
    </row>
    <row r="21" spans="1:12" x14ac:dyDescent="0.25">
      <c r="A21" s="1">
        <v>44946</v>
      </c>
      <c r="B21" t="s">
        <v>6</v>
      </c>
      <c r="C21">
        <v>1277.86976286551</v>
      </c>
      <c r="D21">
        <v>1</v>
      </c>
      <c r="E21">
        <v>303.46323003799898</v>
      </c>
      <c r="F21" t="s">
        <v>9</v>
      </c>
      <c r="G21">
        <f t="shared" si="0"/>
        <v>10.095238095238095</v>
      </c>
      <c r="H21">
        <v>7</v>
      </c>
      <c r="I21">
        <f t="shared" si="5"/>
        <v>5.503678423606905</v>
      </c>
      <c r="J21">
        <f t="shared" si="6"/>
        <v>27.096207500408983</v>
      </c>
      <c r="K21">
        <f t="shared" si="4"/>
        <v>77.15347316273845</v>
      </c>
      <c r="L21" s="6" t="str">
        <f t="shared" si="1"/>
        <v>Jan</v>
      </c>
    </row>
    <row r="22" spans="1:12" x14ac:dyDescent="0.25">
      <c r="A22" s="1">
        <v>44947</v>
      </c>
      <c r="B22">
        <v>0</v>
      </c>
      <c r="C22">
        <v>823.19057291673596</v>
      </c>
      <c r="D22">
        <v>4</v>
      </c>
      <c r="E22">
        <v>253.43330069370299</v>
      </c>
      <c r="F22" t="s">
        <v>10</v>
      </c>
      <c r="G22">
        <f t="shared" si="0"/>
        <v>10.238095238095237</v>
      </c>
      <c r="H22">
        <v>7</v>
      </c>
      <c r="I22">
        <f t="shared" si="5"/>
        <v>5.2906026301808184</v>
      </c>
      <c r="J22">
        <f t="shared" si="6"/>
        <v>26.566513082689202</v>
      </c>
      <c r="K22">
        <f t="shared" si="4"/>
        <v>74.685803671476648</v>
      </c>
      <c r="L22" s="6" t="str">
        <f t="shared" si="1"/>
        <v>Jan</v>
      </c>
    </row>
    <row r="23" spans="1:12" x14ac:dyDescent="0.25">
      <c r="A23" s="1">
        <v>44948</v>
      </c>
      <c r="B23" t="s">
        <v>6</v>
      </c>
      <c r="C23">
        <v>835.68295511220094</v>
      </c>
      <c r="D23">
        <v>13</v>
      </c>
      <c r="E23">
        <v>269.06703734444</v>
      </c>
      <c r="F23" t="s">
        <v>9</v>
      </c>
      <c r="G23">
        <f t="shared" si="0"/>
        <v>10.952380952380953</v>
      </c>
      <c r="H23">
        <v>7</v>
      </c>
      <c r="I23">
        <f t="shared" si="5"/>
        <v>5.417344279960342</v>
      </c>
      <c r="J23">
        <f t="shared" si="6"/>
        <v>26.88284341931503</v>
      </c>
      <c r="K23">
        <f t="shared" si="4"/>
        <v>76.154879489430527</v>
      </c>
      <c r="L23" s="6" t="str">
        <f t="shared" si="1"/>
        <v>Jan</v>
      </c>
    </row>
    <row r="24" spans="1:12" x14ac:dyDescent="0.25">
      <c r="A24" s="1">
        <v>44949</v>
      </c>
      <c r="B24" t="s">
        <v>6</v>
      </c>
      <c r="C24">
        <v>462.38646995943498</v>
      </c>
      <c r="D24">
        <v>4</v>
      </c>
      <c r="E24">
        <v>177.49091336932699</v>
      </c>
      <c r="F24" t="s">
        <v>11</v>
      </c>
      <c r="G24">
        <f t="shared" si="0"/>
        <v>10.80952380952381</v>
      </c>
      <c r="H24">
        <v>7</v>
      </c>
      <c r="I24">
        <f t="shared" si="5"/>
        <v>5.4001763639630118</v>
      </c>
      <c r="J24">
        <f t="shared" si="6"/>
        <v>26.840212879065909</v>
      </c>
      <c r="K24">
        <f t="shared" si="4"/>
        <v>75.956102665586627</v>
      </c>
      <c r="L24" s="6" t="str">
        <f t="shared" si="1"/>
        <v>Jan</v>
      </c>
    </row>
    <row r="25" spans="1:12" x14ac:dyDescent="0.25">
      <c r="A25" s="1">
        <v>44950</v>
      </c>
      <c r="B25" t="s">
        <v>6</v>
      </c>
      <c r="C25">
        <v>847.91704738866099</v>
      </c>
      <c r="D25">
        <v>2</v>
      </c>
      <c r="E25">
        <v>105.48481010603</v>
      </c>
      <c r="F25" t="s">
        <v>7</v>
      </c>
      <c r="G25">
        <f t="shared" si="0"/>
        <v>11.142857142857142</v>
      </c>
      <c r="H25">
        <v>7</v>
      </c>
      <c r="I25">
        <f t="shared" si="5"/>
        <v>5.1699682231684383</v>
      </c>
      <c r="J25">
        <f t="shared" si="6"/>
        <v>26.261886563825293</v>
      </c>
      <c r="K25">
        <f t="shared" si="4"/>
        <v>73.283978498357271</v>
      </c>
      <c r="L25" s="6" t="str">
        <f t="shared" si="1"/>
        <v>Jan</v>
      </c>
    </row>
    <row r="26" spans="1:12" x14ac:dyDescent="0.25">
      <c r="A26" s="1">
        <v>44951</v>
      </c>
      <c r="B26" t="s">
        <v>6</v>
      </c>
      <c r="C26">
        <v>782.69986139587002</v>
      </c>
      <c r="D26">
        <v>13</v>
      </c>
      <c r="E26">
        <v>80.935934995325994</v>
      </c>
      <c r="F26" t="s">
        <v>11</v>
      </c>
      <c r="G26">
        <f t="shared" si="0"/>
        <v>11.428571428571429</v>
      </c>
      <c r="H26">
        <v>7</v>
      </c>
      <c r="I26">
        <f t="shared" si="5"/>
        <v>4.7913612739119209</v>
      </c>
      <c r="J26">
        <f t="shared" si="6"/>
        <v>25.282000956076139</v>
      </c>
      <c r="K26">
        <f t="shared" si="4"/>
        <v>68.860572542608367</v>
      </c>
      <c r="L26" s="6" t="str">
        <f t="shared" si="1"/>
        <v>Jan</v>
      </c>
    </row>
    <row r="27" spans="1:12" x14ac:dyDescent="0.25">
      <c r="A27" s="1">
        <v>44952</v>
      </c>
      <c r="B27" t="s">
        <v>6</v>
      </c>
      <c r="C27">
        <v>1003.77772023453</v>
      </c>
      <c r="D27">
        <v>18</v>
      </c>
      <c r="E27">
        <v>150.43077621635399</v>
      </c>
      <c r="F27" t="s">
        <v>7</v>
      </c>
      <c r="G27">
        <f t="shared" si="0"/>
        <v>11.285714285714286</v>
      </c>
      <c r="H27">
        <v>7</v>
      </c>
      <c r="I27">
        <f t="shared" si="5"/>
        <v>4.7868868499564217</v>
      </c>
      <c r="J27">
        <f t="shared" si="6"/>
        <v>25.270193370872956</v>
      </c>
      <c r="K27">
        <f t="shared" si="4"/>
        <v>68.808069006190891</v>
      </c>
      <c r="L27" s="6" t="str">
        <f t="shared" si="1"/>
        <v>Jan</v>
      </c>
    </row>
    <row r="28" spans="1:12" x14ac:dyDescent="0.25">
      <c r="A28" s="1">
        <v>44953</v>
      </c>
      <c r="B28" t="s">
        <v>6</v>
      </c>
      <c r="C28">
        <v>760.52943459053995</v>
      </c>
      <c r="D28">
        <v>4</v>
      </c>
      <c r="E28">
        <v>301.06563342491</v>
      </c>
      <c r="F28" t="s">
        <v>10</v>
      </c>
      <c r="G28">
        <f t="shared" si="0"/>
        <v>10.952380952380953</v>
      </c>
      <c r="H28">
        <v>7</v>
      </c>
      <c r="I28">
        <f t="shared" si="5"/>
        <v>4.5329481629088848</v>
      </c>
      <c r="J28">
        <f t="shared" si="6"/>
        <v>24.590783177899244</v>
      </c>
      <c r="K28">
        <f t="shared" si="4"/>
        <v>65.819025992927678</v>
      </c>
      <c r="L28" s="6" t="str">
        <f t="shared" si="1"/>
        <v>Jan</v>
      </c>
    </row>
    <row r="29" spans="1:12" x14ac:dyDescent="0.25">
      <c r="A29" s="1">
        <v>44954</v>
      </c>
      <c r="B29" t="s">
        <v>6</v>
      </c>
      <c r="C29">
        <v>1045.32398864581</v>
      </c>
      <c r="D29">
        <v>13</v>
      </c>
      <c r="E29">
        <v>156.22396105974599</v>
      </c>
      <c r="F29" t="s">
        <v>11</v>
      </c>
      <c r="G29">
        <f t="shared" si="0"/>
        <v>11.523809523809524</v>
      </c>
      <c r="H29">
        <v>7</v>
      </c>
      <c r="I29">
        <f t="shared" si="5"/>
        <v>4.365994132142732</v>
      </c>
      <c r="J29">
        <f t="shared" si="6"/>
        <v>24.133680453117186</v>
      </c>
      <c r="K29">
        <f t="shared" si="4"/>
        <v>63.84343660736775</v>
      </c>
      <c r="L29" s="6" t="str">
        <f t="shared" si="1"/>
        <v>Jan</v>
      </c>
    </row>
    <row r="30" spans="1:12" x14ac:dyDescent="0.25">
      <c r="A30" s="1">
        <v>44955</v>
      </c>
      <c r="B30" t="s">
        <v>6</v>
      </c>
      <c r="C30">
        <v>865</v>
      </c>
      <c r="D30">
        <v>14</v>
      </c>
      <c r="E30">
        <v>139.70609038717799</v>
      </c>
      <c r="F30" t="s">
        <v>7</v>
      </c>
      <c r="G30">
        <f t="shared" si="0"/>
        <v>10.952380952380953</v>
      </c>
      <c r="H30">
        <v>7</v>
      </c>
      <c r="I30">
        <f t="shared" si="5"/>
        <v>4.9140226950655244</v>
      </c>
      <c r="J30">
        <f t="shared" si="6"/>
        <v>25.603572262059028</v>
      </c>
      <c r="K30">
        <f t="shared" si="4"/>
        <v>70.297778679083564</v>
      </c>
      <c r="L30" s="6" t="str">
        <f t="shared" si="1"/>
        <v>Jan</v>
      </c>
    </row>
    <row r="31" spans="1:12" x14ac:dyDescent="0.25">
      <c r="A31" s="1">
        <v>44956</v>
      </c>
      <c r="B31" t="s">
        <v>6</v>
      </c>
      <c r="C31">
        <v>972.53018180504796</v>
      </c>
      <c r="D31">
        <v>12</v>
      </c>
      <c r="E31">
        <v>260.91175041210403</v>
      </c>
      <c r="F31" t="s">
        <v>10</v>
      </c>
      <c r="G31">
        <f t="shared" si="0"/>
        <v>10.952380952380953</v>
      </c>
      <c r="H31">
        <v>7</v>
      </c>
      <c r="I31">
        <f t="shared" si="5"/>
        <v>4.9140226950655244</v>
      </c>
      <c r="J31">
        <f t="shared" si="6"/>
        <v>25.603572262059028</v>
      </c>
      <c r="K31">
        <f t="shared" si="4"/>
        <v>70.297778679083564</v>
      </c>
      <c r="L31" s="6" t="str">
        <f t="shared" si="1"/>
        <v>Jan</v>
      </c>
    </row>
    <row r="32" spans="1:12" x14ac:dyDescent="0.25">
      <c r="A32" s="1">
        <v>44957</v>
      </c>
      <c r="B32" t="s">
        <v>6</v>
      </c>
      <c r="C32">
        <v>1075.3584916658999</v>
      </c>
      <c r="D32">
        <v>6</v>
      </c>
      <c r="E32">
        <v>253.00296270000001</v>
      </c>
      <c r="F32" t="s">
        <v>9</v>
      </c>
      <c r="G32">
        <f t="shared" si="0"/>
        <v>10.619047619047619</v>
      </c>
      <c r="H32">
        <v>7</v>
      </c>
      <c r="I32">
        <f t="shared" si="5"/>
        <v>5.0742111749136969</v>
      </c>
      <c r="J32">
        <f t="shared" si="6"/>
        <v>26.017541318530164</v>
      </c>
      <c r="K32">
        <f t="shared" si="4"/>
        <v>72.168700099888071</v>
      </c>
      <c r="L32" s="6" t="str">
        <f t="shared" si="1"/>
        <v>Jan</v>
      </c>
    </row>
    <row r="33" spans="1:12" x14ac:dyDescent="0.25">
      <c r="A33" s="1">
        <v>44958</v>
      </c>
      <c r="B33" t="s">
        <v>6</v>
      </c>
      <c r="C33">
        <v>819.32313913534699</v>
      </c>
      <c r="D33">
        <v>15</v>
      </c>
      <c r="E33">
        <v>113.610555411551</v>
      </c>
      <c r="F33" t="s">
        <v>9</v>
      </c>
      <c r="G33">
        <f t="shared" si="0"/>
        <v>10.857142857142858</v>
      </c>
      <c r="H33">
        <v>7</v>
      </c>
      <c r="I33">
        <f t="shared" si="5"/>
        <v>4.9627181492173644</v>
      </c>
      <c r="J33">
        <f t="shared" si="6"/>
        <v>25.730118691933182</v>
      </c>
      <c r="K33">
        <f t="shared" si="4"/>
        <v>70.867221858624447</v>
      </c>
      <c r="L33" s="6" t="str">
        <f t="shared" si="1"/>
        <v>Feb</v>
      </c>
    </row>
    <row r="34" spans="1:12" x14ac:dyDescent="0.25">
      <c r="A34" s="1">
        <v>44959</v>
      </c>
      <c r="B34" t="s">
        <v>6</v>
      </c>
      <c r="C34">
        <v>755.35027801345302</v>
      </c>
      <c r="D34">
        <v>6</v>
      </c>
      <c r="E34">
        <v>102.871729433615</v>
      </c>
      <c r="F34" t="s">
        <v>7</v>
      </c>
      <c r="G34">
        <f t="shared" si="0"/>
        <v>10.476190476190476</v>
      </c>
      <c r="H34">
        <v>7</v>
      </c>
      <c r="I34">
        <f t="shared" si="5"/>
        <v>4.9357780300480263</v>
      </c>
      <c r="J34">
        <f t="shared" si="6"/>
        <v>25.660185670674363</v>
      </c>
      <c r="K34">
        <f t="shared" si="4"/>
        <v>70.552262039206411</v>
      </c>
      <c r="L34" s="6" t="str">
        <f t="shared" si="1"/>
        <v>Feb</v>
      </c>
    </row>
    <row r="35" spans="1:12" x14ac:dyDescent="0.25">
      <c r="A35" s="1">
        <v>44960</v>
      </c>
      <c r="B35" t="s">
        <v>6</v>
      </c>
      <c r="C35">
        <v>813.89088323933402</v>
      </c>
      <c r="D35">
        <v>15</v>
      </c>
      <c r="E35">
        <v>212.40695876411101</v>
      </c>
      <c r="F35" t="s">
        <v>11</v>
      </c>
      <c r="G35">
        <f t="shared" si="0"/>
        <v>10.428571428571429</v>
      </c>
      <c r="H35">
        <v>7</v>
      </c>
      <c r="I35">
        <f t="shared" si="5"/>
        <v>4.9856938190329005</v>
      </c>
      <c r="J35">
        <f t="shared" si="6"/>
        <v>25.789610692942542</v>
      </c>
      <c r="K35">
        <f t="shared" si="4"/>
        <v>71.135683047003681</v>
      </c>
      <c r="L35" s="6" t="str">
        <f t="shared" si="1"/>
        <v>Feb</v>
      </c>
    </row>
    <row r="36" spans="1:12" x14ac:dyDescent="0.25">
      <c r="A36" s="1">
        <v>44961</v>
      </c>
      <c r="B36" t="s">
        <v>6</v>
      </c>
      <c r="C36">
        <v>518.06610392272796</v>
      </c>
      <c r="D36">
        <v>5</v>
      </c>
      <c r="E36">
        <v>80.137140011261906</v>
      </c>
      <c r="F36" t="s">
        <v>9</v>
      </c>
      <c r="G36">
        <f t="shared" si="0"/>
        <v>10</v>
      </c>
      <c r="H36">
        <v>7</v>
      </c>
      <c r="I36">
        <f t="shared" si="5"/>
        <v>4.9598387070548977</v>
      </c>
      <c r="J36">
        <f t="shared" si="6"/>
        <v>25.722653111953495</v>
      </c>
      <c r="K36">
        <f t="shared" si="4"/>
        <v>70.833567066595663</v>
      </c>
      <c r="L36" s="6" t="str">
        <f t="shared" si="1"/>
        <v>Feb</v>
      </c>
    </row>
    <row r="37" spans="1:12" x14ac:dyDescent="0.25">
      <c r="A37" s="1">
        <v>44962</v>
      </c>
      <c r="B37" t="s">
        <v>6</v>
      </c>
      <c r="C37">
        <v>812.79498133342599</v>
      </c>
      <c r="D37">
        <v>17</v>
      </c>
      <c r="E37">
        <v>218.91621929329699</v>
      </c>
      <c r="F37" t="s">
        <v>10</v>
      </c>
      <c r="G37">
        <f t="shared" si="0"/>
        <v>10.619047619047619</v>
      </c>
      <c r="H37">
        <v>7</v>
      </c>
      <c r="I37">
        <f t="shared" si="5"/>
        <v>5.113474263905025</v>
      </c>
      <c r="J37">
        <f t="shared" si="6"/>
        <v>26.118006250297707</v>
      </c>
      <c r="K37">
        <f t="shared" si="4"/>
        <v>72.626272174386273</v>
      </c>
      <c r="L37" s="6" t="str">
        <f t="shared" si="1"/>
        <v>Feb</v>
      </c>
    </row>
    <row r="38" spans="1:12" x14ac:dyDescent="0.25">
      <c r="A38" s="1">
        <v>44963</v>
      </c>
      <c r="B38" t="s">
        <v>6</v>
      </c>
      <c r="C38">
        <v>751.42486869437903</v>
      </c>
      <c r="D38">
        <v>9</v>
      </c>
      <c r="E38">
        <v>93.229376409035197</v>
      </c>
      <c r="F38" t="s">
        <v>9</v>
      </c>
      <c r="G38">
        <f t="shared" si="0"/>
        <v>10.142857142857142</v>
      </c>
      <c r="H38">
        <v>7</v>
      </c>
      <c r="I38">
        <f t="shared" si="5"/>
        <v>4.9526327774802184</v>
      </c>
      <c r="J38">
        <f t="shared" si="6"/>
        <v>25.703960669472799</v>
      </c>
      <c r="K38">
        <f t="shared" si="4"/>
        <v>70.749334978935735</v>
      </c>
      <c r="L38" s="6" t="str">
        <f t="shared" si="1"/>
        <v>Feb</v>
      </c>
    </row>
    <row r="39" spans="1:12" x14ac:dyDescent="0.25">
      <c r="A39" s="1">
        <v>44964</v>
      </c>
      <c r="B39" t="s">
        <v>6</v>
      </c>
      <c r="C39">
        <v>1062.25104554774</v>
      </c>
      <c r="D39">
        <v>19</v>
      </c>
      <c r="E39">
        <v>373.46066450000001</v>
      </c>
      <c r="F39" t="s">
        <v>7</v>
      </c>
      <c r="G39">
        <f t="shared" si="0"/>
        <v>10.333333333333334</v>
      </c>
      <c r="H39">
        <v>7</v>
      </c>
      <c r="I39">
        <f t="shared" si="5"/>
        <v>4.9833054625753501</v>
      </c>
      <c r="J39">
        <f t="shared" si="6"/>
        <v>25.783432800370242</v>
      </c>
      <c r="K39">
        <f t="shared" si="4"/>
        <v>71.10778248379367</v>
      </c>
      <c r="L39" s="6" t="str">
        <f t="shared" si="1"/>
        <v>Feb</v>
      </c>
    </row>
    <row r="40" spans="1:12" x14ac:dyDescent="0.25">
      <c r="A40" s="1">
        <v>44965</v>
      </c>
      <c r="B40" t="s">
        <v>6</v>
      </c>
      <c r="C40">
        <v>955.43457849788501</v>
      </c>
      <c r="D40">
        <v>10</v>
      </c>
      <c r="E40">
        <v>252.78977447474799</v>
      </c>
      <c r="F40" t="s">
        <v>10</v>
      </c>
      <c r="G40">
        <f t="shared" si="0"/>
        <v>10</v>
      </c>
      <c r="H40">
        <v>7</v>
      </c>
      <c r="I40">
        <f t="shared" si="5"/>
        <v>4.5934736311423405</v>
      </c>
      <c r="J40">
        <f t="shared" si="6"/>
        <v>24.754411042851856</v>
      </c>
      <c r="K40">
        <f t="shared" si="4"/>
        <v>66.53314740228933</v>
      </c>
      <c r="L40" s="6" t="str">
        <f t="shared" si="1"/>
        <v>Feb</v>
      </c>
    </row>
    <row r="41" spans="1:12" x14ac:dyDescent="0.25">
      <c r="A41" s="1">
        <v>44966</v>
      </c>
      <c r="B41" t="s">
        <v>6</v>
      </c>
      <c r="C41">
        <v>690.211279289711</v>
      </c>
      <c r="D41">
        <v>12</v>
      </c>
      <c r="E41">
        <v>153.610308003135</v>
      </c>
      <c r="F41" t="s">
        <v>7</v>
      </c>
      <c r="G41">
        <f t="shared" si="0"/>
        <v>10.095238095238095</v>
      </c>
      <c r="H41">
        <v>7</v>
      </c>
      <c r="I41">
        <f t="shared" si="5"/>
        <v>4.6141603993008511</v>
      </c>
      <c r="J41">
        <f t="shared" si="6"/>
        <v>24.810089332119134</v>
      </c>
      <c r="K41">
        <f t="shared" si="4"/>
        <v>66.776976773379261</v>
      </c>
      <c r="L41" s="6" t="str">
        <f t="shared" si="1"/>
        <v>Feb</v>
      </c>
    </row>
    <row r="42" spans="1:12" x14ac:dyDescent="0.25">
      <c r="A42" s="1">
        <v>44967</v>
      </c>
      <c r="B42" t="s">
        <v>6</v>
      </c>
      <c r="C42">
        <v>1196.01992137446</v>
      </c>
      <c r="D42">
        <v>4</v>
      </c>
      <c r="E42">
        <v>233.05521558658501</v>
      </c>
      <c r="F42" t="s">
        <v>10</v>
      </c>
      <c r="G42">
        <f t="shared" si="0"/>
        <v>10.238095238095237</v>
      </c>
      <c r="H42">
        <v>7</v>
      </c>
      <c r="I42">
        <f t="shared" si="5"/>
        <v>4.7212790841546521</v>
      </c>
      <c r="J42">
        <f t="shared" si="6"/>
        <v>25.096422713684532</v>
      </c>
      <c r="K42">
        <f t="shared" si="4"/>
        <v>68.037580098138747</v>
      </c>
      <c r="L42" s="6" t="str">
        <f t="shared" si="1"/>
        <v>Feb</v>
      </c>
    </row>
    <row r="43" spans="1:12" x14ac:dyDescent="0.25">
      <c r="A43" s="1">
        <v>44968</v>
      </c>
      <c r="B43" t="s">
        <v>6</v>
      </c>
      <c r="C43">
        <v>1246.9314927235</v>
      </c>
      <c r="D43">
        <v>19</v>
      </c>
      <c r="E43">
        <v>327.76191963448002</v>
      </c>
      <c r="F43" t="s">
        <v>10</v>
      </c>
      <c r="G43">
        <f t="shared" si="0"/>
        <v>10.142857142857142</v>
      </c>
      <c r="H43">
        <v>7</v>
      </c>
      <c r="I43">
        <f t="shared" si="5"/>
        <v>4.8711981512325506</v>
      </c>
      <c r="J43">
        <f t="shared" si="6"/>
        <v>25.491763598656725</v>
      </c>
      <c r="K43">
        <f t="shared" si="4"/>
        <v>69.796470593200397</v>
      </c>
      <c r="L43" s="6" t="str">
        <f t="shared" si="1"/>
        <v>Feb</v>
      </c>
    </row>
    <row r="44" spans="1:12" x14ac:dyDescent="0.25">
      <c r="A44" s="1">
        <v>44969</v>
      </c>
      <c r="B44" t="s">
        <v>6</v>
      </c>
      <c r="C44">
        <v>1452.9313937378799</v>
      </c>
      <c r="D44">
        <v>10</v>
      </c>
      <c r="E44">
        <v>294.39953295401699</v>
      </c>
      <c r="F44" t="s">
        <v>10</v>
      </c>
      <c r="G44">
        <f t="shared" si="0"/>
        <v>9.4761904761904763</v>
      </c>
      <c r="H44">
        <v>7</v>
      </c>
      <c r="I44">
        <f t="shared" si="5"/>
        <v>4.5455367957926329</v>
      </c>
      <c r="J44">
        <f t="shared" si="6"/>
        <v>24.624905530798014</v>
      </c>
      <c r="K44">
        <f t="shared" si="4"/>
        <v>65.967644959197671</v>
      </c>
      <c r="L44" s="6" t="str">
        <f t="shared" si="1"/>
        <v>Feb</v>
      </c>
    </row>
    <row r="45" spans="1:12" x14ac:dyDescent="0.25">
      <c r="A45" s="1">
        <v>44970</v>
      </c>
      <c r="B45" t="s">
        <v>6</v>
      </c>
      <c r="C45">
        <v>1406.69135764148</v>
      </c>
      <c r="D45">
        <v>11</v>
      </c>
      <c r="E45">
        <v>393.46396488586799</v>
      </c>
      <c r="F45" t="s">
        <v>11</v>
      </c>
      <c r="G45">
        <f t="shared" si="0"/>
        <v>9.0476190476190474</v>
      </c>
      <c r="H45">
        <v>7</v>
      </c>
      <c r="I45">
        <f t="shared" si="5"/>
        <v>4.903837175887781</v>
      </c>
      <c r="J45">
        <f t="shared" si="6"/>
        <v>25.577023651245458</v>
      </c>
      <c r="K45">
        <f t="shared" si="4"/>
        <v>70.178590346224794</v>
      </c>
      <c r="L45" s="6" t="str">
        <f t="shared" si="1"/>
        <v>Feb</v>
      </c>
    </row>
    <row r="46" spans="1:12" x14ac:dyDescent="0.25">
      <c r="A46" s="1">
        <v>44971</v>
      </c>
      <c r="B46" t="s">
        <v>6</v>
      </c>
      <c r="C46">
        <v>1144.3027695210101</v>
      </c>
      <c r="D46">
        <v>8</v>
      </c>
      <c r="E46">
        <v>338.03866799999997</v>
      </c>
      <c r="F46" t="s">
        <v>7</v>
      </c>
      <c r="G46">
        <f t="shared" si="0"/>
        <v>9.1428571428571423</v>
      </c>
      <c r="H46">
        <v>7</v>
      </c>
      <c r="I46">
        <f t="shared" si="5"/>
        <v>4.9627181492173653</v>
      </c>
      <c r="J46">
        <f t="shared" si="6"/>
        <v>25.730118691933185</v>
      </c>
      <c r="K46">
        <f t="shared" si="4"/>
        <v>70.867221858624461</v>
      </c>
      <c r="L46" s="6" t="str">
        <f t="shared" si="1"/>
        <v>Feb</v>
      </c>
    </row>
    <row r="47" spans="1:12" x14ac:dyDescent="0.25">
      <c r="A47" s="1">
        <v>44972</v>
      </c>
      <c r="B47" t="s">
        <v>6</v>
      </c>
      <c r="C47">
        <v>592.38654559999998</v>
      </c>
      <c r="D47">
        <v>10</v>
      </c>
      <c r="E47">
        <v>201.918528882103</v>
      </c>
      <c r="F47" t="s">
        <v>7</v>
      </c>
      <c r="G47">
        <f t="shared" si="0"/>
        <v>8.9523809523809526</v>
      </c>
      <c r="H47">
        <v>7</v>
      </c>
      <c r="I47">
        <f t="shared" si="5"/>
        <v>5.0840553741692318</v>
      </c>
      <c r="J47">
        <f t="shared" si="6"/>
        <v>26.042766693510327</v>
      </c>
      <c r="K47">
        <f t="shared" si="4"/>
        <v>72.283460810954296</v>
      </c>
      <c r="L47" s="6" t="str">
        <f t="shared" si="1"/>
        <v>Feb</v>
      </c>
    </row>
    <row r="48" spans="1:12" x14ac:dyDescent="0.25">
      <c r="A48" s="1">
        <v>44973</v>
      </c>
      <c r="B48" t="s">
        <v>6</v>
      </c>
      <c r="C48">
        <v>0</v>
      </c>
      <c r="D48">
        <v>11</v>
      </c>
      <c r="E48">
        <v>269.61020140274002</v>
      </c>
      <c r="F48" t="s">
        <v>11</v>
      </c>
      <c r="G48">
        <f t="shared" si="0"/>
        <v>9.3809523809523814</v>
      </c>
      <c r="H48">
        <v>7</v>
      </c>
      <c r="I48">
        <f t="shared" si="5"/>
        <v>5.5360291769118275</v>
      </c>
      <c r="J48">
        <f t="shared" si="6"/>
        <v>27.175726895024905</v>
      </c>
      <c r="K48">
        <f t="shared" si="4"/>
        <v>77.527230361222948</v>
      </c>
      <c r="L48" s="6" t="str">
        <f t="shared" si="1"/>
        <v>Feb</v>
      </c>
    </row>
    <row r="49" spans="1:12" x14ac:dyDescent="0.25">
      <c r="A49" s="1">
        <v>44974</v>
      </c>
      <c r="B49" t="s">
        <v>6</v>
      </c>
      <c r="C49">
        <v>956.69187642281702</v>
      </c>
      <c r="D49">
        <v>16</v>
      </c>
      <c r="E49">
        <v>257.78286474082199</v>
      </c>
      <c r="F49" t="s">
        <v>10</v>
      </c>
      <c r="G49">
        <f t="shared" si="0"/>
        <v>9.7619047619047628</v>
      </c>
      <c r="H49">
        <v>7</v>
      </c>
      <c r="I49">
        <f t="shared" si="5"/>
        <v>5.9152748195224367</v>
      </c>
      <c r="J49">
        <f t="shared" si="6"/>
        <v>28.091145386248343</v>
      </c>
      <c r="K49">
        <f t="shared" si="4"/>
        <v>81.891978268571449</v>
      </c>
      <c r="L49" s="6" t="str">
        <f t="shared" si="1"/>
        <v>Feb</v>
      </c>
    </row>
    <row r="50" spans="1:12" x14ac:dyDescent="0.25">
      <c r="A50" s="1">
        <v>44975</v>
      </c>
      <c r="B50" t="s">
        <v>6</v>
      </c>
      <c r="C50">
        <v>1019.08997211056</v>
      </c>
      <c r="D50">
        <v>1</v>
      </c>
      <c r="E50">
        <v>109.67029135562299</v>
      </c>
      <c r="F50" t="s">
        <v>11</v>
      </c>
      <c r="G50">
        <f t="shared" si="0"/>
        <v>9.6666666666666661</v>
      </c>
      <c r="H50">
        <v>7</v>
      </c>
      <c r="I50">
        <f t="shared" si="5"/>
        <v>5.8252324703253979</v>
      </c>
      <c r="J50">
        <f t="shared" si="6"/>
        <v>27.876523718401181</v>
      </c>
      <c r="K50">
        <f t="shared" si="4"/>
        <v>80.858399996122657</v>
      </c>
      <c r="L50" s="6" t="str">
        <f t="shared" si="1"/>
        <v>Feb</v>
      </c>
    </row>
    <row r="51" spans="1:12" x14ac:dyDescent="0.25">
      <c r="A51" s="1">
        <v>44976</v>
      </c>
      <c r="B51" t="s">
        <v>6</v>
      </c>
      <c r="C51">
        <v>1132.2904545583799</v>
      </c>
      <c r="D51">
        <v>14</v>
      </c>
      <c r="E51">
        <v>395.244053806024</v>
      </c>
      <c r="F51" t="s">
        <v>11</v>
      </c>
      <c r="G51">
        <f t="shared" si="0"/>
        <v>10.238095238095237</v>
      </c>
      <c r="H51">
        <v>7</v>
      </c>
      <c r="I51">
        <f t="shared" si="5"/>
        <v>5.512755770980263</v>
      </c>
      <c r="J51">
        <f t="shared" si="6"/>
        <v>27.118543503259801</v>
      </c>
      <c r="K51">
        <f t="shared" si="4"/>
        <v>77.258369801223154</v>
      </c>
      <c r="L51" s="6" t="str">
        <f t="shared" si="1"/>
        <v>Feb</v>
      </c>
    </row>
    <row r="52" spans="1:12" x14ac:dyDescent="0.25">
      <c r="A52" s="1">
        <v>44977</v>
      </c>
      <c r="B52" t="s">
        <v>6</v>
      </c>
      <c r="C52">
        <v>901.200700504059</v>
      </c>
      <c r="D52">
        <v>5</v>
      </c>
      <c r="E52">
        <v>183.446290883057</v>
      </c>
      <c r="F52" t="s">
        <v>11</v>
      </c>
      <c r="G52">
        <f t="shared" si="0"/>
        <v>9.6190476190476186</v>
      </c>
      <c r="H52">
        <v>7</v>
      </c>
      <c r="I52">
        <f t="shared" si="5"/>
        <v>5.7920306497478977</v>
      </c>
      <c r="J52">
        <f t="shared" si="6"/>
        <v>27.796966898440445</v>
      </c>
      <c r="K52">
        <f t="shared" si="4"/>
        <v>80.476864712814177</v>
      </c>
      <c r="L52" s="6" t="str">
        <f t="shared" si="1"/>
        <v>Feb</v>
      </c>
    </row>
    <row r="53" spans="1:12" x14ac:dyDescent="0.25">
      <c r="A53" s="1">
        <v>44978</v>
      </c>
      <c r="B53" t="s">
        <v>6</v>
      </c>
      <c r="C53">
        <v>486.949482203012</v>
      </c>
      <c r="D53">
        <v>11</v>
      </c>
      <c r="E53">
        <v>110.29950199240901</v>
      </c>
      <c r="F53" t="s">
        <v>10</v>
      </c>
      <c r="G53">
        <f t="shared" si="0"/>
        <v>9.9523809523809526</v>
      </c>
      <c r="H53">
        <v>7</v>
      </c>
      <c r="I53">
        <f t="shared" si="5"/>
        <v>5.7138095039665995</v>
      </c>
      <c r="J53">
        <f t="shared" si="6"/>
        <v>27.608630396180541</v>
      </c>
      <c r="K53">
        <f t="shared" si="4"/>
        <v>79.577088265591044</v>
      </c>
      <c r="L53" s="6" t="str">
        <f t="shared" si="1"/>
        <v>Feb</v>
      </c>
    </row>
    <row r="54" spans="1:12" x14ac:dyDescent="0.25">
      <c r="A54" s="1">
        <v>44979</v>
      </c>
      <c r="B54" t="s">
        <v>6</v>
      </c>
      <c r="C54">
        <v>1486.1600335497601</v>
      </c>
      <c r="D54">
        <v>7</v>
      </c>
      <c r="E54">
        <v>404.21816104767203</v>
      </c>
      <c r="F54" t="s">
        <v>7</v>
      </c>
      <c r="G54">
        <f t="shared" si="0"/>
        <v>9.8571428571428577</v>
      </c>
      <c r="H54">
        <v>7</v>
      </c>
      <c r="I54">
        <f t="shared" si="5"/>
        <v>5.7121424552064033</v>
      </c>
      <c r="J54">
        <f t="shared" si="6"/>
        <v>27.604602585088454</v>
      </c>
      <c r="K54">
        <f t="shared" si="4"/>
        <v>79.55789824910859</v>
      </c>
      <c r="L54" s="6" t="str">
        <f t="shared" si="1"/>
        <v>Feb</v>
      </c>
    </row>
    <row r="55" spans="1:12" x14ac:dyDescent="0.25">
      <c r="A55" s="1">
        <v>44980</v>
      </c>
      <c r="B55" t="s">
        <v>6</v>
      </c>
      <c r="C55">
        <v>1039.8808555667999</v>
      </c>
      <c r="D55">
        <v>5</v>
      </c>
      <c r="E55">
        <v>254.902336427085</v>
      </c>
      <c r="F55" t="s">
        <v>10</v>
      </c>
      <c r="G55">
        <f t="shared" si="0"/>
        <v>10.380952380952381</v>
      </c>
      <c r="H55">
        <v>7</v>
      </c>
      <c r="I55">
        <f t="shared" si="5"/>
        <v>5.9369705277707956</v>
      </c>
      <c r="J55">
        <f t="shared" si="6"/>
        <v>28.142613788185056</v>
      </c>
      <c r="K55">
        <f t="shared" si="4"/>
        <v>82.140774302671815</v>
      </c>
      <c r="L55" s="6" t="str">
        <f t="shared" si="1"/>
        <v>Feb</v>
      </c>
    </row>
    <row r="56" spans="1:12" x14ac:dyDescent="0.25">
      <c r="A56" s="1">
        <v>44981</v>
      </c>
      <c r="B56" t="s">
        <v>6</v>
      </c>
      <c r="C56">
        <v>1189.72232171665</v>
      </c>
      <c r="D56">
        <v>6</v>
      </c>
      <c r="E56">
        <v>329.63541197242301</v>
      </c>
      <c r="F56" t="s">
        <v>9</v>
      </c>
      <c r="G56">
        <f t="shared" si="0"/>
        <v>10.238095238095237</v>
      </c>
      <c r="H56">
        <v>7</v>
      </c>
      <c r="I56">
        <f t="shared" si="5"/>
        <v>6.1065928462994972</v>
      </c>
      <c r="J56">
        <f t="shared" si="6"/>
        <v>28.541807093778569</v>
      </c>
      <c r="K56">
        <f t="shared" si="4"/>
        <v>84.082722981550191</v>
      </c>
      <c r="L56" s="6" t="str">
        <f t="shared" si="1"/>
        <v>Feb</v>
      </c>
    </row>
    <row r="57" spans="1:12" x14ac:dyDescent="0.25">
      <c r="A57" s="1">
        <v>44982</v>
      </c>
      <c r="B57" t="s">
        <v>6</v>
      </c>
      <c r="C57">
        <v>1279.07600378606</v>
      </c>
      <c r="D57">
        <v>18</v>
      </c>
      <c r="E57">
        <v>315.711118373548</v>
      </c>
      <c r="F57" t="s">
        <v>9</v>
      </c>
      <c r="G57">
        <f t="shared" si="0"/>
        <v>10.047619047619047</v>
      </c>
      <c r="H57">
        <v>7</v>
      </c>
      <c r="I57">
        <f t="shared" si="5"/>
        <v>6.3045712818255168</v>
      </c>
      <c r="J57">
        <f t="shared" si="6"/>
        <v>29.000785686317677</v>
      </c>
      <c r="K57">
        <f t="shared" si="4"/>
        <v>86.342362582921183</v>
      </c>
      <c r="L57" s="6" t="str">
        <f t="shared" si="1"/>
        <v>Feb</v>
      </c>
    </row>
    <row r="58" spans="1:12" x14ac:dyDescent="0.25">
      <c r="A58" s="1">
        <v>44983</v>
      </c>
      <c r="B58" t="s">
        <v>6</v>
      </c>
      <c r="C58">
        <v>1338.7208312605401</v>
      </c>
      <c r="D58">
        <v>7</v>
      </c>
      <c r="E58">
        <v>316.66518283843101</v>
      </c>
      <c r="F58" t="s">
        <v>9</v>
      </c>
      <c r="G58">
        <f t="shared" si="0"/>
        <v>9.7142857142857135</v>
      </c>
      <c r="H58">
        <v>7</v>
      </c>
      <c r="I58">
        <f t="shared" si="5"/>
        <v>6.0427051652621371</v>
      </c>
      <c r="J58">
        <f t="shared" si="6"/>
        <v>28.392111154489413</v>
      </c>
      <c r="K58">
        <f t="shared" si="4"/>
        <v>83.351953371873606</v>
      </c>
      <c r="L58" s="6" t="str">
        <f t="shared" si="1"/>
        <v>Feb</v>
      </c>
    </row>
    <row r="59" spans="1:12" x14ac:dyDescent="0.25">
      <c r="A59" s="1">
        <v>44984</v>
      </c>
      <c r="B59" t="s">
        <v>6</v>
      </c>
      <c r="C59">
        <v>428.64637844044802</v>
      </c>
      <c r="D59">
        <v>13</v>
      </c>
      <c r="E59">
        <v>123.350459386094</v>
      </c>
      <c r="F59" t="s">
        <v>11</v>
      </c>
      <c r="G59">
        <f t="shared" si="0"/>
        <v>9.9523809523809526</v>
      </c>
      <c r="H59">
        <v>7</v>
      </c>
      <c r="I59">
        <f t="shared" si="5"/>
        <v>6.0288986595910732</v>
      </c>
      <c r="J59">
        <f t="shared" si="6"/>
        <v>28.359657145954674</v>
      </c>
      <c r="K59">
        <f t="shared" si="4"/>
        <v>83.193925906997293</v>
      </c>
      <c r="L59" s="6" t="str">
        <f t="shared" si="1"/>
        <v>Feb</v>
      </c>
    </row>
    <row r="60" spans="1:12" x14ac:dyDescent="0.25">
      <c r="A60" s="1">
        <v>44985</v>
      </c>
      <c r="B60" t="s">
        <v>6</v>
      </c>
      <c r="C60">
        <v>1779.31139297031</v>
      </c>
      <c r="D60">
        <v>12</v>
      </c>
      <c r="E60">
        <v>703.22841779999999</v>
      </c>
      <c r="F60" t="s">
        <v>10</v>
      </c>
      <c r="G60">
        <f t="shared" si="0"/>
        <v>9.9047619047619051</v>
      </c>
      <c r="H60">
        <v>7</v>
      </c>
      <c r="I60">
        <f t="shared" si="5"/>
        <v>6.0075349512488225</v>
      </c>
      <c r="J60">
        <f t="shared" si="6"/>
        <v>28.309365611648225</v>
      </c>
      <c r="K60">
        <f t="shared" si="4"/>
        <v>82.949326358720839</v>
      </c>
      <c r="L60" s="6" t="str">
        <f t="shared" si="1"/>
        <v>Feb</v>
      </c>
    </row>
    <row r="61" spans="1:12" x14ac:dyDescent="0.25">
      <c r="A61" s="1">
        <v>44986</v>
      </c>
      <c r="B61" t="s">
        <v>6</v>
      </c>
      <c r="C61">
        <v>1070.26441976095</v>
      </c>
      <c r="D61">
        <v>12</v>
      </c>
      <c r="E61">
        <v>414.11174945570798</v>
      </c>
      <c r="F61" t="s">
        <v>7</v>
      </c>
      <c r="G61">
        <f t="shared" si="0"/>
        <v>9.7142857142857135</v>
      </c>
      <c r="H61">
        <v>7</v>
      </c>
      <c r="I61">
        <f t="shared" si="5"/>
        <v>6.0011903581111063</v>
      </c>
      <c r="J61">
        <f t="shared" si="6"/>
        <v>28.294412818574564</v>
      </c>
      <c r="K61">
        <f t="shared" si="4"/>
        <v>82.876667980442249</v>
      </c>
      <c r="L61" s="6" t="str">
        <f t="shared" si="1"/>
        <v>Mar</v>
      </c>
    </row>
    <row r="62" spans="1:12" x14ac:dyDescent="0.25">
      <c r="A62" s="1">
        <v>44987</v>
      </c>
      <c r="B62" t="s">
        <v>6</v>
      </c>
      <c r="C62">
        <v>1140.5690480114499</v>
      </c>
      <c r="D62">
        <v>15</v>
      </c>
      <c r="E62">
        <v>188.07665030618799</v>
      </c>
      <c r="F62" t="s">
        <v>7</v>
      </c>
      <c r="G62">
        <f t="shared" si="0"/>
        <v>9.9047619047619051</v>
      </c>
      <c r="H62">
        <v>7</v>
      </c>
      <c r="I62">
        <f t="shared" si="5"/>
        <v>6.1392569738101201</v>
      </c>
      <c r="J62">
        <f t="shared" si="6"/>
        <v>28.61804026219658</v>
      </c>
      <c r="K62">
        <f t="shared" si="4"/>
        <v>84.456044166850518</v>
      </c>
      <c r="L62" s="6" t="str">
        <f t="shared" si="1"/>
        <v>Mar</v>
      </c>
    </row>
    <row r="63" spans="1:12" x14ac:dyDescent="0.25">
      <c r="A63" s="1">
        <v>44988</v>
      </c>
      <c r="B63" t="s">
        <v>6</v>
      </c>
      <c r="C63">
        <v>1205.0757235603201</v>
      </c>
      <c r="D63">
        <v>2</v>
      </c>
      <c r="E63">
        <v>285.87966721734199</v>
      </c>
      <c r="F63" t="s">
        <v>11</v>
      </c>
      <c r="G63">
        <f t="shared" si="0"/>
        <v>10.047619047619047</v>
      </c>
      <c r="H63">
        <v>7</v>
      </c>
      <c r="I63">
        <f t="shared" si="5"/>
        <v>6.2966355339672502</v>
      </c>
      <c r="J63">
        <f t="shared" si="6"/>
        <v>28.982527871461901</v>
      </c>
      <c r="K63">
        <f t="shared" si="4"/>
        <v>86.251927251830693</v>
      </c>
      <c r="L63" s="6" t="str">
        <f t="shared" si="1"/>
        <v>Mar</v>
      </c>
    </row>
    <row r="64" spans="1:12" x14ac:dyDescent="0.25">
      <c r="A64" s="1">
        <v>44989</v>
      </c>
      <c r="B64" t="s">
        <v>6</v>
      </c>
      <c r="C64">
        <v>1013.67764934101</v>
      </c>
      <c r="D64">
        <v>5</v>
      </c>
      <c r="E64">
        <v>168.32620210715999</v>
      </c>
      <c r="F64" t="s">
        <v>7</v>
      </c>
      <c r="G64">
        <f t="shared" si="0"/>
        <v>10.619047619047619</v>
      </c>
      <c r="H64">
        <v>7</v>
      </c>
      <c r="I64">
        <f t="shared" si="5"/>
        <v>6.0702239701364427</v>
      </c>
      <c r="J64">
        <f t="shared" si="6"/>
        <v>28.456687319084185</v>
      </c>
      <c r="K64">
        <f t="shared" si="4"/>
        <v>83.666819618896596</v>
      </c>
      <c r="L64" s="6" t="str">
        <f t="shared" si="1"/>
        <v>Mar</v>
      </c>
    </row>
    <row r="65" spans="1:12" x14ac:dyDescent="0.25">
      <c r="A65" s="1">
        <v>44990</v>
      </c>
      <c r="B65" t="s">
        <v>6</v>
      </c>
      <c r="C65">
        <v>1191.3919810452301</v>
      </c>
      <c r="D65">
        <v>1</v>
      </c>
      <c r="E65">
        <v>175.37551818310999</v>
      </c>
      <c r="F65" t="s">
        <v>11</v>
      </c>
      <c r="G65">
        <f t="shared" si="0"/>
        <v>10.571428571428571</v>
      </c>
      <c r="H65">
        <v>7</v>
      </c>
      <c r="I65">
        <f t="shared" si="5"/>
        <v>6.120224085533378</v>
      </c>
      <c r="J65">
        <f t="shared" si="6"/>
        <v>28.573645087219205</v>
      </c>
      <c r="K65">
        <f t="shared" si="4"/>
        <v>84.238540341356128</v>
      </c>
      <c r="L65" s="6" t="str">
        <f t="shared" si="1"/>
        <v>Mar</v>
      </c>
    </row>
    <row r="66" spans="1:12" x14ac:dyDescent="0.25">
      <c r="A66" s="1">
        <v>44991</v>
      </c>
      <c r="B66" t="s">
        <v>6</v>
      </c>
      <c r="C66">
        <v>765.37129441825903</v>
      </c>
      <c r="D66">
        <v>13</v>
      </c>
      <c r="E66">
        <v>218.19057566543799</v>
      </c>
      <c r="F66" t="s">
        <v>7</v>
      </c>
      <c r="G66">
        <f t="shared" ref="G66:G129" si="7">AVERAGE(D66:D86)</f>
        <v>10.857142857142858</v>
      </c>
      <c r="H66">
        <v>7</v>
      </c>
      <c r="I66">
        <f t="shared" ref="I66:I129" si="8">STDEV(D66:D86)</f>
        <v>5.7817446699565886</v>
      </c>
      <c r="J66">
        <f t="shared" ref="J66:J129" si="9">1.65 * $H$2 * SQRT(I66)</f>
        <v>27.772273823615588</v>
      </c>
      <c r="K66">
        <f t="shared" ref="K66:K129" si="10">($G$2 * I66) + J66</f>
        <v>80.358618202744566</v>
      </c>
      <c r="L66" s="6" t="str">
        <f t="shared" ref="L66:L129" si="11">TEXT(A66,"mmm")</f>
        <v>Mar</v>
      </c>
    </row>
    <row r="67" spans="1:12" x14ac:dyDescent="0.25">
      <c r="A67" s="1">
        <v>44992</v>
      </c>
      <c r="B67" t="s">
        <v>6</v>
      </c>
      <c r="C67">
        <v>880.33225232393397</v>
      </c>
      <c r="D67">
        <v>4</v>
      </c>
      <c r="E67">
        <v>105.948970542319</v>
      </c>
      <c r="F67" t="s">
        <v>9</v>
      </c>
      <c r="G67">
        <f t="shared" si="7"/>
        <v>10.666666666666666</v>
      </c>
      <c r="H67">
        <v>7</v>
      </c>
      <c r="I67">
        <f t="shared" si="8"/>
        <v>5.7735026918962573</v>
      </c>
      <c r="J67">
        <f t="shared" si="9"/>
        <v>27.752471833256411</v>
      </c>
      <c r="K67">
        <f t="shared" si="10"/>
        <v>80.263853459550944</v>
      </c>
      <c r="L67" s="6" t="str">
        <f t="shared" si="11"/>
        <v>Mar</v>
      </c>
    </row>
    <row r="68" spans="1:12" x14ac:dyDescent="0.25">
      <c r="A68" s="1">
        <v>44993</v>
      </c>
      <c r="B68" t="s">
        <v>6</v>
      </c>
      <c r="C68">
        <v>960.688477900301</v>
      </c>
      <c r="D68">
        <v>19</v>
      </c>
      <c r="E68">
        <v>168.843521708422</v>
      </c>
      <c r="F68" t="s">
        <v>9</v>
      </c>
      <c r="G68">
        <f t="shared" si="7"/>
        <v>11.19047619047619</v>
      </c>
      <c r="H68">
        <v>7</v>
      </c>
      <c r="I68">
        <f t="shared" si="8"/>
        <v>5.6357701125848605</v>
      </c>
      <c r="J68">
        <f t="shared" si="9"/>
        <v>27.419442416725065</v>
      </c>
      <c r="K68">
        <f t="shared" si="10"/>
        <v>78.678113440711172</v>
      </c>
      <c r="L68" s="6" t="str">
        <f t="shared" si="11"/>
        <v>Mar</v>
      </c>
    </row>
    <row r="69" spans="1:12" x14ac:dyDescent="0.25">
      <c r="A69" s="1">
        <v>44994</v>
      </c>
      <c r="B69" t="s">
        <v>6</v>
      </c>
      <c r="C69">
        <v>1072.9922992385</v>
      </c>
      <c r="D69">
        <v>19</v>
      </c>
      <c r="E69">
        <v>195.568470060126</v>
      </c>
      <c r="F69" t="s">
        <v>9</v>
      </c>
      <c r="G69">
        <f t="shared" si="7"/>
        <v>10.761904761904763</v>
      </c>
      <c r="H69">
        <v>7</v>
      </c>
      <c r="I69">
        <f t="shared" si="8"/>
        <v>5.3470062830032461</v>
      </c>
      <c r="J69">
        <f t="shared" si="9"/>
        <v>26.707751789851955</v>
      </c>
      <c r="K69">
        <f t="shared" si="10"/>
        <v>75.340047030500529</v>
      </c>
      <c r="L69" s="6" t="str">
        <f t="shared" si="11"/>
        <v>Mar</v>
      </c>
    </row>
    <row r="70" spans="1:12" x14ac:dyDescent="0.25">
      <c r="A70" s="1">
        <v>44995</v>
      </c>
      <c r="B70" t="s">
        <v>6</v>
      </c>
      <c r="C70">
        <v>1212.3146623748801</v>
      </c>
      <c r="D70">
        <v>14</v>
      </c>
      <c r="E70">
        <v>314.11838856900101</v>
      </c>
      <c r="F70" t="s">
        <v>9</v>
      </c>
      <c r="G70">
        <f t="shared" si="7"/>
        <v>10.238095238095237</v>
      </c>
      <c r="H70">
        <v>7</v>
      </c>
      <c r="I70">
        <f t="shared" si="8"/>
        <v>5.0289637292862031</v>
      </c>
      <c r="J70">
        <f t="shared" si="9"/>
        <v>25.901280545488529</v>
      </c>
      <c r="K70">
        <f t="shared" si="10"/>
        <v>71.640903035663044</v>
      </c>
      <c r="L70" s="6" t="str">
        <f t="shared" si="11"/>
        <v>Mar</v>
      </c>
    </row>
    <row r="71" spans="1:12" x14ac:dyDescent="0.25">
      <c r="A71" s="1">
        <v>44996</v>
      </c>
      <c r="B71" t="s">
        <v>6</v>
      </c>
      <c r="C71">
        <v>570.76746936458505</v>
      </c>
      <c r="D71">
        <v>13</v>
      </c>
      <c r="E71">
        <v>82.689476400846999</v>
      </c>
      <c r="F71" t="s">
        <v>7</v>
      </c>
      <c r="G71">
        <f t="shared" si="7"/>
        <v>10.19047619047619</v>
      </c>
      <c r="H71">
        <v>7</v>
      </c>
      <c r="I71">
        <f t="shared" si="8"/>
        <v>4.9961890238365454</v>
      </c>
      <c r="J71">
        <f t="shared" si="9"/>
        <v>25.816740813905128</v>
      </c>
      <c r="K71">
        <f t="shared" si="10"/>
        <v>71.258269554513703</v>
      </c>
      <c r="L71" s="6" t="str">
        <f t="shared" si="11"/>
        <v>Mar</v>
      </c>
    </row>
    <row r="72" spans="1:12" x14ac:dyDescent="0.25">
      <c r="A72" s="1">
        <v>44997</v>
      </c>
      <c r="B72" t="s">
        <v>6</v>
      </c>
      <c r="C72">
        <v>558.24748658769704</v>
      </c>
      <c r="D72">
        <v>1</v>
      </c>
      <c r="E72">
        <v>149.55148993737399</v>
      </c>
      <c r="F72" t="s">
        <v>11</v>
      </c>
      <c r="G72">
        <f t="shared" si="7"/>
        <v>10.428571428571429</v>
      </c>
      <c r="H72">
        <v>7</v>
      </c>
      <c r="I72">
        <f t="shared" si="8"/>
        <v>5.2494897711247015</v>
      </c>
      <c r="J72">
        <f t="shared" si="9"/>
        <v>26.463088617779725</v>
      </c>
      <c r="K72">
        <f t="shared" si="10"/>
        <v>74.208447964675827</v>
      </c>
      <c r="L72" s="6" t="str">
        <f t="shared" si="11"/>
        <v>Mar</v>
      </c>
    </row>
    <row r="73" spans="1:12" x14ac:dyDescent="0.25">
      <c r="A73" s="1">
        <v>44998</v>
      </c>
      <c r="B73" t="s">
        <v>6</v>
      </c>
      <c r="C73">
        <v>706.37000560000001</v>
      </c>
      <c r="D73">
        <v>12</v>
      </c>
      <c r="E73">
        <v>92.796076354245201</v>
      </c>
      <c r="F73" t="s">
        <v>9</v>
      </c>
      <c r="G73">
        <f t="shared" si="7"/>
        <v>10.523809523809524</v>
      </c>
      <c r="H73">
        <v>7</v>
      </c>
      <c r="I73">
        <f t="shared" si="8"/>
        <v>5.0854601327613187</v>
      </c>
      <c r="J73">
        <f t="shared" si="9"/>
        <v>26.046364340550326</v>
      </c>
      <c r="K73">
        <f t="shared" si="10"/>
        <v>72.299835071855654</v>
      </c>
      <c r="L73" s="6" t="str">
        <f t="shared" si="11"/>
        <v>Mar</v>
      </c>
    </row>
    <row r="74" spans="1:12" x14ac:dyDescent="0.25">
      <c r="A74" s="1">
        <v>44999</v>
      </c>
      <c r="B74" t="s">
        <v>6</v>
      </c>
      <c r="C74">
        <v>1622.57826178757</v>
      </c>
      <c r="D74">
        <v>9</v>
      </c>
      <c r="E74">
        <v>242.088424018159</v>
      </c>
      <c r="F74" t="s">
        <v>10</v>
      </c>
      <c r="G74">
        <f t="shared" si="7"/>
        <v>10.047619047619047</v>
      </c>
      <c r="H74">
        <v>7</v>
      </c>
      <c r="I74">
        <f t="shared" si="8"/>
        <v>5.398853493809499</v>
      </c>
      <c r="J74">
        <f t="shared" si="9"/>
        <v>26.836925181695491</v>
      </c>
      <c r="K74">
        <f t="shared" si="10"/>
        <v>75.940783149200939</v>
      </c>
      <c r="L74" s="6" t="str">
        <f t="shared" si="11"/>
        <v>Mar</v>
      </c>
    </row>
    <row r="75" spans="1:12" x14ac:dyDescent="0.25">
      <c r="A75" s="1">
        <v>45000</v>
      </c>
      <c r="B75" t="s">
        <v>6</v>
      </c>
      <c r="C75">
        <v>1312.8295527533201</v>
      </c>
      <c r="D75">
        <v>18</v>
      </c>
      <c r="E75">
        <v>388.56985448801998</v>
      </c>
      <c r="F75" t="s">
        <v>7</v>
      </c>
      <c r="G75">
        <f t="shared" si="7"/>
        <v>10.19047619047619</v>
      </c>
      <c r="H75">
        <v>7</v>
      </c>
      <c r="I75">
        <f t="shared" si="8"/>
        <v>5.4094273968604822</v>
      </c>
      <c r="J75">
        <f t="shared" si="9"/>
        <v>26.863193002874407</v>
      </c>
      <c r="K75">
        <f t="shared" si="10"/>
        <v>76.063223136224508</v>
      </c>
      <c r="L75" s="6" t="str">
        <f t="shared" si="11"/>
        <v>Mar</v>
      </c>
    </row>
    <row r="76" spans="1:12" x14ac:dyDescent="0.25">
      <c r="A76" s="1">
        <v>45001</v>
      </c>
      <c r="B76" t="s">
        <v>6</v>
      </c>
      <c r="C76">
        <v>877.16342650653803</v>
      </c>
      <c r="D76">
        <v>2</v>
      </c>
      <c r="E76">
        <v>215.782801520974</v>
      </c>
      <c r="F76" t="s">
        <v>10</v>
      </c>
      <c r="G76">
        <f t="shared" si="7"/>
        <v>9.7619047619047628</v>
      </c>
      <c r="H76">
        <v>7</v>
      </c>
      <c r="I76">
        <f t="shared" si="8"/>
        <v>5.1078837291461712</v>
      </c>
      <c r="J76">
        <f t="shared" si="9"/>
        <v>26.103725005780728</v>
      </c>
      <c r="K76">
        <f t="shared" si="10"/>
        <v>72.561143685157802</v>
      </c>
      <c r="L76" s="6" t="str">
        <f t="shared" si="11"/>
        <v>Mar</v>
      </c>
    </row>
    <row r="77" spans="1:12" x14ac:dyDescent="0.25">
      <c r="A77" s="1">
        <v>45002</v>
      </c>
      <c r="B77" t="s">
        <v>6</v>
      </c>
      <c r="C77">
        <v>1078.2021297471699</v>
      </c>
      <c r="D77">
        <v>2</v>
      </c>
      <c r="E77">
        <v>166.35913372867401</v>
      </c>
      <c r="F77" t="s">
        <v>7</v>
      </c>
      <c r="G77">
        <f t="shared" si="7"/>
        <v>10.523809523809524</v>
      </c>
      <c r="H77">
        <v>7</v>
      </c>
      <c r="I77">
        <f t="shared" si="8"/>
        <v>5.0854601327613187</v>
      </c>
      <c r="J77">
        <f t="shared" si="9"/>
        <v>26.046364340550326</v>
      </c>
      <c r="K77">
        <f t="shared" si="10"/>
        <v>72.299835071855654</v>
      </c>
      <c r="L77" s="6" t="str">
        <f t="shared" si="11"/>
        <v>Mar</v>
      </c>
    </row>
    <row r="78" spans="1:12" x14ac:dyDescent="0.25">
      <c r="A78" s="1">
        <v>45003</v>
      </c>
      <c r="B78" t="s">
        <v>6</v>
      </c>
      <c r="C78">
        <v>578.11461142501503</v>
      </c>
      <c r="D78">
        <v>11</v>
      </c>
      <c r="E78">
        <v>211.07710282903699</v>
      </c>
      <c r="F78" t="s">
        <v>10</v>
      </c>
      <c r="G78">
        <f t="shared" si="7"/>
        <v>10.571428571428571</v>
      </c>
      <c r="H78">
        <v>7</v>
      </c>
      <c r="I78">
        <f t="shared" si="8"/>
        <v>5.0057110241346203</v>
      </c>
      <c r="J78">
        <f t="shared" si="9"/>
        <v>25.841330555857969</v>
      </c>
      <c r="K78">
        <f t="shared" si="10"/>
        <v>71.369464156320461</v>
      </c>
      <c r="L78" s="6" t="str">
        <f t="shared" si="11"/>
        <v>Mar</v>
      </c>
    </row>
    <row r="79" spans="1:12" x14ac:dyDescent="0.25">
      <c r="A79" s="1">
        <v>45004</v>
      </c>
      <c r="B79" t="s">
        <v>6</v>
      </c>
      <c r="C79">
        <v>895.22268870447101</v>
      </c>
      <c r="D79">
        <v>12</v>
      </c>
      <c r="E79">
        <v>216.99236748971899</v>
      </c>
      <c r="F79" t="s">
        <v>7</v>
      </c>
      <c r="G79">
        <f t="shared" si="7"/>
        <v>10.095238095238095</v>
      </c>
      <c r="H79">
        <v>7</v>
      </c>
      <c r="I79">
        <f t="shared" si="8"/>
        <v>5.4212983860396573</v>
      </c>
      <c r="J79">
        <f t="shared" si="9"/>
        <v>26.892652489921023</v>
      </c>
      <c r="K79">
        <f t="shared" si="10"/>
        <v>76.200652096281715</v>
      </c>
      <c r="L79" s="6" t="str">
        <f t="shared" si="11"/>
        <v>Mar</v>
      </c>
    </row>
    <row r="80" spans="1:12" x14ac:dyDescent="0.25">
      <c r="A80" s="1">
        <v>45005</v>
      </c>
      <c r="B80" t="s">
        <v>6</v>
      </c>
      <c r="C80">
        <v>1057.28132523199</v>
      </c>
      <c r="D80">
        <v>12</v>
      </c>
      <c r="E80">
        <v>152.780281353905</v>
      </c>
      <c r="F80" t="s">
        <v>7</v>
      </c>
      <c r="G80">
        <f t="shared" si="7"/>
        <v>9.6666666666666661</v>
      </c>
      <c r="H80">
        <v>7</v>
      </c>
      <c r="I80">
        <f t="shared" si="8"/>
        <v>5.6154548643305233</v>
      </c>
      <c r="J80">
        <f t="shared" si="9"/>
        <v>27.369978398582131</v>
      </c>
      <c r="K80">
        <f t="shared" si="10"/>
        <v>78.443877402731175</v>
      </c>
      <c r="L80" s="6" t="str">
        <f t="shared" si="11"/>
        <v>Mar</v>
      </c>
    </row>
    <row r="81" spans="1:12" x14ac:dyDescent="0.25">
      <c r="A81" s="1">
        <v>45006</v>
      </c>
      <c r="B81" t="s">
        <v>6</v>
      </c>
      <c r="C81">
        <v>1193.2804478527901</v>
      </c>
      <c r="D81">
        <v>8</v>
      </c>
      <c r="E81">
        <v>175.23222358088401</v>
      </c>
      <c r="F81" t="s">
        <v>10</v>
      </c>
      <c r="G81">
        <f t="shared" si="7"/>
        <v>9.4761904761904763</v>
      </c>
      <c r="H81">
        <v>7</v>
      </c>
      <c r="I81">
        <f t="shared" si="8"/>
        <v>5.6001700654448667</v>
      </c>
      <c r="J81">
        <f t="shared" si="9"/>
        <v>27.332703619574641</v>
      </c>
      <c r="K81">
        <f t="shared" si="10"/>
        <v>78.267583738620814</v>
      </c>
      <c r="L81" s="6" t="str">
        <f t="shared" si="11"/>
        <v>Mar</v>
      </c>
    </row>
    <row r="82" spans="1:12" x14ac:dyDescent="0.25">
      <c r="A82" s="1">
        <v>45007</v>
      </c>
      <c r="B82" t="s">
        <v>6</v>
      </c>
      <c r="C82">
        <v>677.00184754669999</v>
      </c>
      <c r="D82">
        <v>16</v>
      </c>
      <c r="E82">
        <v>235.63162032358699</v>
      </c>
      <c r="F82" t="s">
        <v>11</v>
      </c>
      <c r="G82">
        <f t="shared" si="7"/>
        <v>9.5238095238095237</v>
      </c>
      <c r="H82">
        <v>7</v>
      </c>
      <c r="I82">
        <f t="shared" si="8"/>
        <v>5.5912346366348071</v>
      </c>
      <c r="J82">
        <f t="shared" si="9"/>
        <v>27.310889377932657</v>
      </c>
      <c r="K82">
        <f t="shared" si="10"/>
        <v>78.164499644468279</v>
      </c>
      <c r="L82" s="6" t="str">
        <f t="shared" si="11"/>
        <v>Mar</v>
      </c>
    </row>
    <row r="83" spans="1:12" x14ac:dyDescent="0.25">
      <c r="A83" s="1">
        <v>45008</v>
      </c>
      <c r="B83" t="s">
        <v>6</v>
      </c>
      <c r="C83">
        <v>719.88332417793299</v>
      </c>
      <c r="D83">
        <v>18</v>
      </c>
      <c r="E83">
        <v>261.58209416891998</v>
      </c>
      <c r="F83" t="s">
        <v>9</v>
      </c>
      <c r="G83">
        <f t="shared" si="7"/>
        <v>9.4761904761904763</v>
      </c>
      <c r="H83">
        <v>7</v>
      </c>
      <c r="I83">
        <f t="shared" si="8"/>
        <v>5.537319275778195</v>
      </c>
      <c r="J83">
        <f t="shared" si="9"/>
        <v>27.178893183626897</v>
      </c>
      <c r="K83">
        <f t="shared" si="10"/>
        <v>77.542130406180945</v>
      </c>
      <c r="L83" s="6" t="str">
        <f t="shared" si="11"/>
        <v>Mar</v>
      </c>
    </row>
    <row r="84" spans="1:12" x14ac:dyDescent="0.25">
      <c r="A84" s="1">
        <v>45009</v>
      </c>
      <c r="B84" t="s">
        <v>6</v>
      </c>
      <c r="C84">
        <v>0</v>
      </c>
      <c r="D84">
        <v>14</v>
      </c>
      <c r="E84">
        <v>183.929457591627</v>
      </c>
      <c r="F84" t="s">
        <v>10</v>
      </c>
      <c r="G84">
        <f t="shared" si="7"/>
        <v>8.7619047619047628</v>
      </c>
      <c r="H84">
        <v>7</v>
      </c>
      <c r="I84">
        <f t="shared" si="8"/>
        <v>5.3470062830032461</v>
      </c>
      <c r="J84">
        <f t="shared" si="9"/>
        <v>26.707751789851955</v>
      </c>
      <c r="K84">
        <f t="shared" si="10"/>
        <v>75.340047030500529</v>
      </c>
      <c r="L84" s="6" t="str">
        <f t="shared" si="11"/>
        <v>Mar</v>
      </c>
    </row>
    <row r="85" spans="1:12" x14ac:dyDescent="0.25">
      <c r="A85" s="1">
        <v>45010</v>
      </c>
      <c r="B85" t="s">
        <v>6</v>
      </c>
      <c r="C85">
        <v>0</v>
      </c>
      <c r="D85">
        <v>4</v>
      </c>
      <c r="E85">
        <v>412.414536489451</v>
      </c>
      <c r="F85" t="s">
        <v>10</v>
      </c>
      <c r="G85">
        <f t="shared" si="7"/>
        <v>8.7619047619047628</v>
      </c>
      <c r="H85">
        <v>7</v>
      </c>
      <c r="I85">
        <f t="shared" si="8"/>
        <v>5.3470062830032461</v>
      </c>
      <c r="J85">
        <f t="shared" si="9"/>
        <v>26.707751789851955</v>
      </c>
      <c r="K85">
        <f t="shared" si="10"/>
        <v>75.340047030500529</v>
      </c>
      <c r="L85" s="6" t="str">
        <f t="shared" si="11"/>
        <v>Mar</v>
      </c>
    </row>
    <row r="86" spans="1:12" x14ac:dyDescent="0.25">
      <c r="A86" s="1">
        <v>45011</v>
      </c>
      <c r="B86" t="s">
        <v>6</v>
      </c>
      <c r="C86">
        <v>1027.4302382676899</v>
      </c>
      <c r="D86">
        <v>7</v>
      </c>
      <c r="E86">
        <v>312.68334752305702</v>
      </c>
      <c r="F86" t="s">
        <v>10</v>
      </c>
      <c r="G86">
        <f t="shared" si="7"/>
        <v>8.7619047619047628</v>
      </c>
      <c r="H86">
        <v>7</v>
      </c>
      <c r="I86">
        <f t="shared" si="8"/>
        <v>5.3470062830032461</v>
      </c>
      <c r="J86">
        <f t="shared" si="9"/>
        <v>26.707751789851955</v>
      </c>
      <c r="K86">
        <f t="shared" si="10"/>
        <v>75.340047030500529</v>
      </c>
      <c r="L86" s="6" t="str">
        <f t="shared" si="11"/>
        <v>Mar</v>
      </c>
    </row>
    <row r="87" spans="1:12" x14ac:dyDescent="0.25">
      <c r="A87" s="1">
        <v>45012</v>
      </c>
      <c r="B87" t="s">
        <v>6</v>
      </c>
      <c r="C87">
        <v>1019.1065180954801</v>
      </c>
      <c r="D87">
        <v>9</v>
      </c>
      <c r="E87">
        <v>344.58351129584503</v>
      </c>
      <c r="F87" t="s">
        <v>9</v>
      </c>
      <c r="G87">
        <f t="shared" si="7"/>
        <v>8.6190476190476186</v>
      </c>
      <c r="H87">
        <v>7</v>
      </c>
      <c r="I87">
        <f t="shared" si="8"/>
        <v>5.4357721666400849</v>
      </c>
      <c r="J87">
        <f t="shared" si="9"/>
        <v>26.928527558338644</v>
      </c>
      <c r="K87">
        <f t="shared" si="10"/>
        <v>76.368169645398467</v>
      </c>
      <c r="L87" s="6" t="str">
        <f t="shared" si="11"/>
        <v>Mar</v>
      </c>
    </row>
    <row r="88" spans="1:12" x14ac:dyDescent="0.25">
      <c r="A88" s="1">
        <v>45013</v>
      </c>
      <c r="B88" t="s">
        <v>6</v>
      </c>
      <c r="C88">
        <v>1666.80868874052</v>
      </c>
      <c r="D88">
        <v>15</v>
      </c>
      <c r="E88">
        <v>284.30868386872402</v>
      </c>
      <c r="F88" t="s">
        <v>11</v>
      </c>
      <c r="G88">
        <f t="shared" si="7"/>
        <v>8.9047619047619051</v>
      </c>
      <c r="H88">
        <v>7</v>
      </c>
      <c r="I88">
        <f t="shared" si="8"/>
        <v>5.6116375676335508</v>
      </c>
      <c r="J88">
        <f t="shared" si="9"/>
        <v>27.36067397956846</v>
      </c>
      <c r="K88">
        <f t="shared" si="10"/>
        <v>78.399853761378381</v>
      </c>
      <c r="L88" s="6" t="str">
        <f t="shared" si="11"/>
        <v>Mar</v>
      </c>
    </row>
    <row r="89" spans="1:12" x14ac:dyDescent="0.25">
      <c r="A89" s="1">
        <v>45014</v>
      </c>
      <c r="B89" t="s">
        <v>6</v>
      </c>
      <c r="C89">
        <v>792.73587629999997</v>
      </c>
      <c r="D89">
        <v>10</v>
      </c>
      <c r="E89">
        <v>181.108346724043</v>
      </c>
      <c r="F89" t="s">
        <v>9</v>
      </c>
      <c r="G89">
        <f t="shared" si="7"/>
        <v>8.7142857142857135</v>
      </c>
      <c r="H89">
        <v>7</v>
      </c>
      <c r="I89">
        <f t="shared" si="8"/>
        <v>5.4602459389926485</v>
      </c>
      <c r="J89">
        <f t="shared" si="9"/>
        <v>26.989080363666833</v>
      </c>
      <c r="K89">
        <f t="shared" si="10"/>
        <v>76.651317237361866</v>
      </c>
      <c r="L89" s="6" t="str">
        <f t="shared" si="11"/>
        <v>Mar</v>
      </c>
    </row>
    <row r="90" spans="1:12" x14ac:dyDescent="0.25">
      <c r="A90" s="1">
        <v>45015</v>
      </c>
      <c r="B90" t="s">
        <v>6</v>
      </c>
      <c r="C90">
        <v>843.72585419899406</v>
      </c>
      <c r="D90">
        <v>8</v>
      </c>
      <c r="E90">
        <v>307.13622939453802</v>
      </c>
      <c r="F90" t="s">
        <v>10</v>
      </c>
      <c r="G90">
        <f t="shared" si="7"/>
        <v>8.2857142857142865</v>
      </c>
      <c r="H90">
        <v>7</v>
      </c>
      <c r="I90">
        <f t="shared" si="8"/>
        <v>5.7021299278678059</v>
      </c>
      <c r="J90">
        <f t="shared" si="9"/>
        <v>27.580398613913921</v>
      </c>
      <c r="K90">
        <f t="shared" si="10"/>
        <v>79.442627957854441</v>
      </c>
      <c r="L90" s="6" t="str">
        <f t="shared" si="11"/>
        <v>Mar</v>
      </c>
    </row>
    <row r="91" spans="1:12" x14ac:dyDescent="0.25">
      <c r="A91" s="1">
        <v>45016</v>
      </c>
      <c r="B91" t="s">
        <v>6</v>
      </c>
      <c r="C91">
        <v>811.321332643392</v>
      </c>
      <c r="D91">
        <v>13</v>
      </c>
      <c r="E91">
        <v>235.67912237360699</v>
      </c>
      <c r="F91" t="s">
        <v>9</v>
      </c>
      <c r="G91">
        <f t="shared" si="7"/>
        <v>8.6666666666666661</v>
      </c>
      <c r="H91">
        <v>7</v>
      </c>
      <c r="I91">
        <f t="shared" si="8"/>
        <v>5.9441848333756697</v>
      </c>
      <c r="J91">
        <f t="shared" si="9"/>
        <v>28.159707335737664</v>
      </c>
      <c r="K91">
        <f t="shared" si="10"/>
        <v>82.223483677392565</v>
      </c>
      <c r="L91" s="6" t="str">
        <f t="shared" si="11"/>
        <v>Mar</v>
      </c>
    </row>
    <row r="92" spans="1:12" x14ac:dyDescent="0.25">
      <c r="A92" s="1">
        <v>45017</v>
      </c>
      <c r="B92" t="s">
        <v>6</v>
      </c>
      <c r="C92">
        <v>1695.7988619944999</v>
      </c>
      <c r="D92">
        <v>18</v>
      </c>
      <c r="E92">
        <v>570.41687473221998</v>
      </c>
      <c r="F92" t="s">
        <v>11</v>
      </c>
      <c r="G92">
        <f t="shared" si="7"/>
        <v>8.7619047619047628</v>
      </c>
      <c r="H92">
        <v>7</v>
      </c>
      <c r="I92">
        <f t="shared" si="8"/>
        <v>6.032451921936568</v>
      </c>
      <c r="J92">
        <f t="shared" si="9"/>
        <v>28.368013104835928</v>
      </c>
      <c r="K92">
        <f t="shared" si="10"/>
        <v>83.234599632925665</v>
      </c>
      <c r="L92" s="6" t="str">
        <f t="shared" si="11"/>
        <v>Apr</v>
      </c>
    </row>
    <row r="93" spans="1:12" x14ac:dyDescent="0.25">
      <c r="A93" s="1">
        <v>45018</v>
      </c>
      <c r="B93" t="s">
        <v>6</v>
      </c>
      <c r="C93">
        <v>1152.3973980737601</v>
      </c>
      <c r="D93">
        <v>3</v>
      </c>
      <c r="E93">
        <v>387.070449827826</v>
      </c>
      <c r="F93" t="s">
        <v>9</v>
      </c>
      <c r="G93">
        <f t="shared" si="7"/>
        <v>7.9523809523809526</v>
      </c>
      <c r="H93">
        <v>7</v>
      </c>
      <c r="I93">
        <f t="shared" si="8"/>
        <v>5.8692094056711799</v>
      </c>
      <c r="J93">
        <f t="shared" si="9"/>
        <v>27.981551203249069</v>
      </c>
      <c r="K93">
        <f t="shared" si="10"/>
        <v>81.363408178639332</v>
      </c>
      <c r="L93" s="6" t="str">
        <f t="shared" si="11"/>
        <v>Apr</v>
      </c>
    </row>
    <row r="94" spans="1:12" x14ac:dyDescent="0.25">
      <c r="A94" s="1">
        <v>45019</v>
      </c>
      <c r="B94" t="s">
        <v>6</v>
      </c>
      <c r="C94">
        <v>1015.1607446782</v>
      </c>
      <c r="D94">
        <v>2</v>
      </c>
      <c r="E94">
        <v>141.876228108475</v>
      </c>
      <c r="F94" t="s">
        <v>10</v>
      </c>
      <c r="G94">
        <f t="shared" si="7"/>
        <v>7.9047619047619051</v>
      </c>
      <c r="H94">
        <v>7</v>
      </c>
      <c r="I94">
        <f t="shared" si="8"/>
        <v>5.9152748195224367</v>
      </c>
      <c r="J94">
        <f t="shared" si="9"/>
        <v>28.091145386248343</v>
      </c>
      <c r="K94">
        <f t="shared" si="10"/>
        <v>81.891978268571449</v>
      </c>
      <c r="L94" s="6" t="str">
        <f t="shared" si="11"/>
        <v>Apr</v>
      </c>
    </row>
    <row r="95" spans="1:12" x14ac:dyDescent="0.25">
      <c r="A95" s="1">
        <v>45020</v>
      </c>
      <c r="B95" t="s">
        <v>6</v>
      </c>
      <c r="C95">
        <v>0</v>
      </c>
      <c r="D95">
        <v>12</v>
      </c>
      <c r="E95">
        <v>0</v>
      </c>
      <c r="F95" t="s">
        <v>11</v>
      </c>
      <c r="G95">
        <f t="shared" si="7"/>
        <v>8.5238095238095237</v>
      </c>
      <c r="H95">
        <v>7</v>
      </c>
      <c r="I95">
        <f t="shared" si="8"/>
        <v>5.9465876569596414</v>
      </c>
      <c r="J95">
        <f t="shared" si="9"/>
        <v>28.165398273547606</v>
      </c>
      <c r="K95">
        <f t="shared" si="10"/>
        <v>82.251028867799576</v>
      </c>
      <c r="L95" s="6" t="str">
        <f t="shared" si="11"/>
        <v>Apr</v>
      </c>
    </row>
    <row r="96" spans="1:12" x14ac:dyDescent="0.25">
      <c r="A96" s="1">
        <v>45021</v>
      </c>
      <c r="B96" t="s">
        <v>6</v>
      </c>
      <c r="C96">
        <v>1044.6002371606301</v>
      </c>
      <c r="D96">
        <v>9</v>
      </c>
      <c r="E96">
        <v>239.31911902152001</v>
      </c>
      <c r="F96" t="s">
        <v>7</v>
      </c>
      <c r="G96">
        <f t="shared" si="7"/>
        <v>8.8095238095238102</v>
      </c>
      <c r="H96">
        <v>7</v>
      </c>
      <c r="I96">
        <f t="shared" si="8"/>
        <v>6.2579473281504026</v>
      </c>
      <c r="J96">
        <f t="shared" si="9"/>
        <v>28.893352495748637</v>
      </c>
      <c r="K96">
        <f t="shared" si="10"/>
        <v>85.810873432735633</v>
      </c>
      <c r="L96" s="6" t="str">
        <f t="shared" si="11"/>
        <v>Apr</v>
      </c>
    </row>
    <row r="97" spans="1:12" x14ac:dyDescent="0.25">
      <c r="A97" s="1">
        <v>45022</v>
      </c>
      <c r="B97" t="s">
        <v>6</v>
      </c>
      <c r="C97">
        <v>1357.1938824358999</v>
      </c>
      <c r="D97">
        <v>18</v>
      </c>
      <c r="E97">
        <v>188.93918534839699</v>
      </c>
      <c r="F97" t="s">
        <v>11</v>
      </c>
      <c r="G97">
        <f t="shared" si="7"/>
        <v>9.1428571428571423</v>
      </c>
      <c r="H97">
        <v>7</v>
      </c>
      <c r="I97">
        <f t="shared" si="8"/>
        <v>6.4520207244375332</v>
      </c>
      <c r="J97">
        <f t="shared" si="9"/>
        <v>29.337956552762464</v>
      </c>
      <c r="K97">
        <f t="shared" si="10"/>
        <v>88.020621236932413</v>
      </c>
      <c r="L97" s="6" t="str">
        <f t="shared" si="11"/>
        <v>Apr</v>
      </c>
    </row>
    <row r="98" spans="1:12" x14ac:dyDescent="0.25">
      <c r="A98" s="1">
        <v>45023</v>
      </c>
      <c r="B98" t="s">
        <v>6</v>
      </c>
      <c r="C98">
        <v>995.40704524810099</v>
      </c>
      <c r="D98">
        <v>3</v>
      </c>
      <c r="E98">
        <v>178.92973284868501</v>
      </c>
      <c r="F98" t="s">
        <v>9</v>
      </c>
      <c r="G98">
        <f t="shared" si="7"/>
        <v>8.5238095238095237</v>
      </c>
      <c r="H98">
        <v>7</v>
      </c>
      <c r="I98">
        <f t="shared" si="8"/>
        <v>6.1775322550274687</v>
      </c>
      <c r="J98">
        <f t="shared" si="9"/>
        <v>28.7071114299454</v>
      </c>
      <c r="K98">
        <f t="shared" si="10"/>
        <v>84.893238130433332</v>
      </c>
      <c r="L98" s="6" t="str">
        <f t="shared" si="11"/>
        <v>Apr</v>
      </c>
    </row>
    <row r="99" spans="1:12" x14ac:dyDescent="0.25">
      <c r="A99" s="1">
        <v>45024</v>
      </c>
      <c r="B99" t="s">
        <v>6</v>
      </c>
      <c r="C99">
        <v>1311.97140621882</v>
      </c>
      <c r="D99">
        <v>1</v>
      </c>
      <c r="E99">
        <v>462.15698117454298</v>
      </c>
      <c r="F99" t="s">
        <v>10</v>
      </c>
      <c r="G99">
        <f t="shared" si="7"/>
        <v>8.9523809523809526</v>
      </c>
      <c r="H99">
        <v>7</v>
      </c>
      <c r="I99">
        <f t="shared" si="8"/>
        <v>6.0866755332955815</v>
      </c>
      <c r="J99">
        <f t="shared" si="9"/>
        <v>28.495222982641558</v>
      </c>
      <c r="K99">
        <f t="shared" si="10"/>
        <v>83.854986166425178</v>
      </c>
      <c r="L99" s="6" t="str">
        <f t="shared" si="11"/>
        <v>Apr</v>
      </c>
    </row>
    <row r="100" spans="1:12" x14ac:dyDescent="0.25">
      <c r="A100" s="1">
        <v>45025</v>
      </c>
      <c r="B100" t="s">
        <v>6</v>
      </c>
      <c r="C100">
        <v>0</v>
      </c>
      <c r="D100">
        <v>3</v>
      </c>
      <c r="E100">
        <v>92.274782204987901</v>
      </c>
      <c r="F100" t="s">
        <v>7</v>
      </c>
      <c r="G100">
        <f t="shared" si="7"/>
        <v>9.6190476190476186</v>
      </c>
      <c r="H100">
        <v>7</v>
      </c>
      <c r="I100">
        <f t="shared" si="8"/>
        <v>5.9369705277707965</v>
      </c>
      <c r="J100">
        <f t="shared" si="9"/>
        <v>28.142613788185056</v>
      </c>
      <c r="K100">
        <f t="shared" si="10"/>
        <v>82.140774302671815</v>
      </c>
      <c r="L100" s="6" t="str">
        <f t="shared" si="11"/>
        <v>Apr</v>
      </c>
    </row>
    <row r="101" spans="1:12" x14ac:dyDescent="0.25">
      <c r="A101" s="1">
        <v>45026</v>
      </c>
      <c r="B101" t="s">
        <v>6</v>
      </c>
      <c r="C101">
        <v>745.60603670339901</v>
      </c>
      <c r="D101">
        <v>8</v>
      </c>
      <c r="E101">
        <v>214.286482024268</v>
      </c>
      <c r="F101" t="s">
        <v>10</v>
      </c>
      <c r="G101">
        <f t="shared" si="7"/>
        <v>9.6190476190476186</v>
      </c>
      <c r="H101">
        <v>7</v>
      </c>
      <c r="I101">
        <f t="shared" si="8"/>
        <v>5.9369705277707965</v>
      </c>
      <c r="J101">
        <f t="shared" si="9"/>
        <v>28.142613788185056</v>
      </c>
      <c r="K101">
        <f t="shared" si="10"/>
        <v>82.140774302671815</v>
      </c>
      <c r="L101" s="6" t="str">
        <f t="shared" si="11"/>
        <v>Apr</v>
      </c>
    </row>
    <row r="102" spans="1:12" x14ac:dyDescent="0.25">
      <c r="A102" s="1">
        <v>45027</v>
      </c>
      <c r="B102" t="s">
        <v>6</v>
      </c>
      <c r="C102">
        <v>1068.9863343526599</v>
      </c>
      <c r="D102">
        <v>9</v>
      </c>
      <c r="E102">
        <v>226.251072208967</v>
      </c>
      <c r="F102" t="s">
        <v>9</v>
      </c>
      <c r="G102">
        <f t="shared" si="7"/>
        <v>9.9047619047619051</v>
      </c>
      <c r="H102">
        <v>7</v>
      </c>
      <c r="I102">
        <f t="shared" si="8"/>
        <v>5.9992062967092732</v>
      </c>
      <c r="J102">
        <f t="shared" si="9"/>
        <v>28.289735205490324</v>
      </c>
      <c r="K102">
        <f t="shared" si="10"/>
        <v>82.853944856512754</v>
      </c>
      <c r="L102" s="6" t="str">
        <f t="shared" si="11"/>
        <v>Apr</v>
      </c>
    </row>
    <row r="103" spans="1:12" x14ac:dyDescent="0.25">
      <c r="A103" s="1">
        <v>45028</v>
      </c>
      <c r="B103" t="s">
        <v>6</v>
      </c>
      <c r="C103">
        <v>1340.6455049088299</v>
      </c>
      <c r="D103">
        <v>15</v>
      </c>
      <c r="E103">
        <v>235.514287445593</v>
      </c>
      <c r="F103" t="s">
        <v>7</v>
      </c>
      <c r="G103">
        <f t="shared" si="7"/>
        <v>9.6666666666666661</v>
      </c>
      <c r="H103">
        <v>7</v>
      </c>
      <c r="I103">
        <f t="shared" si="8"/>
        <v>6.1346013182058812</v>
      </c>
      <c r="J103">
        <f t="shared" si="9"/>
        <v>28.607187075138302</v>
      </c>
      <c r="K103">
        <f t="shared" si="10"/>
        <v>84.402846683582268</v>
      </c>
      <c r="L103" s="6" t="str">
        <f t="shared" si="11"/>
        <v>Apr</v>
      </c>
    </row>
    <row r="104" spans="1:12" x14ac:dyDescent="0.25">
      <c r="A104" s="1">
        <v>45029</v>
      </c>
      <c r="B104" t="s">
        <v>6</v>
      </c>
      <c r="C104">
        <v>1241.03374370967</v>
      </c>
      <c r="D104">
        <v>3</v>
      </c>
      <c r="E104">
        <v>234.883674913531</v>
      </c>
      <c r="F104" t="s">
        <v>9</v>
      </c>
      <c r="G104">
        <f t="shared" si="7"/>
        <v>9.5238095238095237</v>
      </c>
      <c r="H104">
        <v>7</v>
      </c>
      <c r="I104">
        <f t="shared" si="8"/>
        <v>6.038369379385859</v>
      </c>
      <c r="J104">
        <f t="shared" si="9"/>
        <v>28.381923316320936</v>
      </c>
      <c r="K104">
        <f t="shared" si="10"/>
        <v>83.302330528830424</v>
      </c>
      <c r="L104" s="6" t="str">
        <f t="shared" si="11"/>
        <v>Apr</v>
      </c>
    </row>
    <row r="105" spans="1:12" x14ac:dyDescent="0.25">
      <c r="A105" s="1">
        <v>45030</v>
      </c>
      <c r="B105" t="s">
        <v>6</v>
      </c>
      <c r="C105">
        <v>873.15641170000004</v>
      </c>
      <c r="D105">
        <v>14</v>
      </c>
      <c r="E105">
        <v>248.67113478526699</v>
      </c>
      <c r="F105" t="s">
        <v>9</v>
      </c>
      <c r="G105">
        <f t="shared" si="7"/>
        <v>9.8095238095238102</v>
      </c>
      <c r="H105">
        <v>7</v>
      </c>
      <c r="I105">
        <f t="shared" si="8"/>
        <v>5.8533669594434929</v>
      </c>
      <c r="J105">
        <f t="shared" si="9"/>
        <v>27.943761124930202</v>
      </c>
      <c r="K105">
        <f t="shared" si="10"/>
        <v>81.181527279868632</v>
      </c>
      <c r="L105" s="6" t="str">
        <f t="shared" si="11"/>
        <v>Apr</v>
      </c>
    </row>
    <row r="106" spans="1:12" x14ac:dyDescent="0.25">
      <c r="A106" s="1">
        <v>45031</v>
      </c>
      <c r="B106" t="s">
        <v>6</v>
      </c>
      <c r="C106">
        <v>0</v>
      </c>
      <c r="D106">
        <v>4</v>
      </c>
      <c r="E106">
        <v>289.30405032633797</v>
      </c>
      <c r="F106" t="s">
        <v>11</v>
      </c>
      <c r="G106">
        <f t="shared" si="7"/>
        <v>9.5238095238095237</v>
      </c>
      <c r="H106">
        <v>7</v>
      </c>
      <c r="I106">
        <f t="shared" si="8"/>
        <v>5.784626587940207</v>
      </c>
      <c r="J106">
        <f t="shared" si="9"/>
        <v>27.779194523918317</v>
      </c>
      <c r="K106">
        <f t="shared" si="10"/>
        <v>80.391750633279244</v>
      </c>
      <c r="L106" s="6" t="str">
        <f t="shared" si="11"/>
        <v>Apr</v>
      </c>
    </row>
    <row r="107" spans="1:12" x14ac:dyDescent="0.25">
      <c r="A107" s="1">
        <v>45032</v>
      </c>
      <c r="B107" t="s">
        <v>6</v>
      </c>
      <c r="C107">
        <v>0</v>
      </c>
      <c r="D107">
        <v>4</v>
      </c>
      <c r="E107">
        <v>153.21088839887699</v>
      </c>
      <c r="F107" t="s">
        <v>11</v>
      </c>
      <c r="G107">
        <f t="shared" si="7"/>
        <v>10.142857142857142</v>
      </c>
      <c r="H107">
        <v>7</v>
      </c>
      <c r="I107">
        <f t="shared" si="8"/>
        <v>5.8590589200460705</v>
      </c>
      <c r="J107">
        <f t="shared" si="9"/>
        <v>27.957344430067849</v>
      </c>
      <c r="K107">
        <f t="shared" si="10"/>
        <v>81.246880321915441</v>
      </c>
      <c r="L107" s="6" t="str">
        <f t="shared" si="11"/>
        <v>Apr</v>
      </c>
    </row>
    <row r="108" spans="1:12" x14ac:dyDescent="0.25">
      <c r="A108" s="1">
        <v>45033</v>
      </c>
      <c r="B108" t="s">
        <v>6</v>
      </c>
      <c r="C108">
        <v>825.20893771016404</v>
      </c>
      <c r="D108">
        <v>15</v>
      </c>
      <c r="E108">
        <v>329.67448057366499</v>
      </c>
      <c r="F108" t="s">
        <v>11</v>
      </c>
      <c r="G108">
        <f t="shared" si="7"/>
        <v>10.380952380952381</v>
      </c>
      <c r="H108">
        <v>7</v>
      </c>
      <c r="I108">
        <f t="shared" si="8"/>
        <v>5.696281159460006</v>
      </c>
      <c r="J108">
        <f t="shared" si="9"/>
        <v>27.56625015077066</v>
      </c>
      <c r="K108">
        <f t="shared" si="10"/>
        <v>79.375283553478326</v>
      </c>
      <c r="L108" s="6" t="str">
        <f t="shared" si="11"/>
        <v>Apr</v>
      </c>
    </row>
    <row r="109" spans="1:12" x14ac:dyDescent="0.25">
      <c r="A109" s="1">
        <v>45034</v>
      </c>
      <c r="B109" t="s">
        <v>6</v>
      </c>
      <c r="C109">
        <v>1104.59330330026</v>
      </c>
      <c r="D109">
        <v>11</v>
      </c>
      <c r="E109">
        <v>118.47594844685</v>
      </c>
      <c r="F109" t="s">
        <v>10</v>
      </c>
      <c r="G109">
        <f t="shared" si="7"/>
        <v>10</v>
      </c>
      <c r="H109">
        <v>7</v>
      </c>
      <c r="I109">
        <f t="shared" si="8"/>
        <v>5.6391488719486738</v>
      </c>
      <c r="J109">
        <f t="shared" si="9"/>
        <v>27.427660443248396</v>
      </c>
      <c r="K109">
        <f t="shared" si="10"/>
        <v>78.717062088114901</v>
      </c>
      <c r="L109" s="6" t="str">
        <f t="shared" si="11"/>
        <v>Apr</v>
      </c>
    </row>
    <row r="110" spans="1:12" x14ac:dyDescent="0.25">
      <c r="A110" s="1">
        <v>45035</v>
      </c>
      <c r="B110" t="s">
        <v>6</v>
      </c>
      <c r="C110">
        <v>991.74552848480903</v>
      </c>
      <c r="D110">
        <v>1</v>
      </c>
      <c r="E110">
        <v>331.306397925152</v>
      </c>
      <c r="F110" t="s">
        <v>11</v>
      </c>
      <c r="G110">
        <f t="shared" si="7"/>
        <v>9.9047619047619051</v>
      </c>
      <c r="H110">
        <v>7</v>
      </c>
      <c r="I110">
        <f t="shared" si="8"/>
        <v>5.6383043719256758</v>
      </c>
      <c r="J110">
        <f t="shared" si="9"/>
        <v>27.425606629130648</v>
      </c>
      <c r="K110">
        <f t="shared" si="10"/>
        <v>78.707327345216555</v>
      </c>
      <c r="L110" s="6" t="str">
        <f t="shared" si="11"/>
        <v>Apr</v>
      </c>
    </row>
    <row r="111" spans="1:12" x14ac:dyDescent="0.25">
      <c r="A111" s="1">
        <v>45036</v>
      </c>
      <c r="B111" t="s">
        <v>6</v>
      </c>
      <c r="C111">
        <v>751.93589380000003</v>
      </c>
      <c r="D111">
        <v>16</v>
      </c>
      <c r="E111">
        <v>246.49923273650501</v>
      </c>
      <c r="F111" t="s">
        <v>10</v>
      </c>
      <c r="G111">
        <f t="shared" si="7"/>
        <v>10.428571428571429</v>
      </c>
      <c r="H111">
        <v>7</v>
      </c>
      <c r="I111">
        <f t="shared" si="8"/>
        <v>5.2685048028015373</v>
      </c>
      <c r="J111">
        <f t="shared" si="9"/>
        <v>26.510973425276784</v>
      </c>
      <c r="K111">
        <f t="shared" si="10"/>
        <v>74.429279012662192</v>
      </c>
      <c r="L111" s="6" t="str">
        <f t="shared" si="11"/>
        <v>Apr</v>
      </c>
    </row>
    <row r="112" spans="1:12" x14ac:dyDescent="0.25">
      <c r="A112" s="1">
        <v>45037</v>
      </c>
      <c r="B112" t="s">
        <v>6</v>
      </c>
      <c r="C112">
        <v>0</v>
      </c>
      <c r="D112">
        <v>15</v>
      </c>
      <c r="E112">
        <v>403.06894183964602</v>
      </c>
      <c r="F112" t="s">
        <v>7</v>
      </c>
      <c r="G112">
        <f t="shared" si="7"/>
        <v>9.8095238095238102</v>
      </c>
      <c r="H112">
        <v>7</v>
      </c>
      <c r="I112">
        <f t="shared" si="8"/>
        <v>5.3443338931905027</v>
      </c>
      <c r="J112">
        <f t="shared" si="9"/>
        <v>26.701076798255645</v>
      </c>
      <c r="K112">
        <f t="shared" si="10"/>
        <v>75.30906601727402</v>
      </c>
      <c r="L112" s="6" t="str">
        <f t="shared" si="11"/>
        <v>Apr</v>
      </c>
    </row>
    <row r="113" spans="1:12" x14ac:dyDescent="0.25">
      <c r="A113" s="1">
        <v>45038</v>
      </c>
      <c r="B113" t="s">
        <v>6</v>
      </c>
      <c r="C113">
        <v>0</v>
      </c>
      <c r="D113">
        <v>1</v>
      </c>
      <c r="E113">
        <v>139.64327688579499</v>
      </c>
      <c r="F113" t="s">
        <v>11</v>
      </c>
      <c r="G113">
        <f t="shared" si="7"/>
        <v>9.9523809523809526</v>
      </c>
      <c r="H113">
        <v>7</v>
      </c>
      <c r="I113">
        <f t="shared" si="8"/>
        <v>5.5269900531499996</v>
      </c>
      <c r="J113">
        <f t="shared" si="9"/>
        <v>27.153531824890528</v>
      </c>
      <c r="K113">
        <f t="shared" si="10"/>
        <v>77.422822308302429</v>
      </c>
      <c r="L113" s="6" t="str">
        <f t="shared" si="11"/>
        <v>Apr</v>
      </c>
    </row>
    <row r="114" spans="1:12" x14ac:dyDescent="0.25">
      <c r="A114" s="1">
        <v>45039</v>
      </c>
      <c r="B114" t="s">
        <v>6</v>
      </c>
      <c r="C114">
        <v>1130.9679412472999</v>
      </c>
      <c r="D114">
        <v>2</v>
      </c>
      <c r="E114">
        <v>405.56066187876098</v>
      </c>
      <c r="F114" t="s">
        <v>9</v>
      </c>
      <c r="G114">
        <f t="shared" si="7"/>
        <v>10.428571428571429</v>
      </c>
      <c r="H114">
        <v>7</v>
      </c>
      <c r="I114">
        <f t="shared" si="8"/>
        <v>5.1339208074475469</v>
      </c>
      <c r="J114">
        <f t="shared" si="9"/>
        <v>26.170171388730363</v>
      </c>
      <c r="K114">
        <f t="shared" si="10"/>
        <v>72.864403494562808</v>
      </c>
      <c r="L114" s="6" t="str">
        <f t="shared" si="11"/>
        <v>Apr</v>
      </c>
    </row>
    <row r="115" spans="1:12" x14ac:dyDescent="0.25">
      <c r="A115" s="1">
        <v>45040</v>
      </c>
      <c r="B115" t="s">
        <v>6</v>
      </c>
      <c r="C115">
        <v>1319.75829962849</v>
      </c>
      <c r="D115">
        <v>15</v>
      </c>
      <c r="E115">
        <v>213.09395856250799</v>
      </c>
      <c r="F115" t="s">
        <v>7</v>
      </c>
      <c r="G115">
        <f t="shared" si="7"/>
        <v>10.952380952380953</v>
      </c>
      <c r="H115">
        <v>7</v>
      </c>
      <c r="I115">
        <f t="shared" si="8"/>
        <v>4.7799183097223574</v>
      </c>
      <c r="J115">
        <f t="shared" si="9"/>
        <v>25.25179305143967</v>
      </c>
      <c r="K115">
        <f t="shared" si="10"/>
        <v>68.726288154152542</v>
      </c>
      <c r="L115" s="6" t="str">
        <f t="shared" si="11"/>
        <v>Apr</v>
      </c>
    </row>
    <row r="116" spans="1:12" x14ac:dyDescent="0.25">
      <c r="A116" s="1">
        <v>45041</v>
      </c>
      <c r="B116" t="s">
        <v>6</v>
      </c>
      <c r="C116">
        <v>758.99086118191804</v>
      </c>
      <c r="D116">
        <v>18</v>
      </c>
      <c r="E116">
        <v>97.167825245427693</v>
      </c>
      <c r="F116" t="s">
        <v>7</v>
      </c>
      <c r="G116">
        <f t="shared" si="7"/>
        <v>10.80952380952381</v>
      </c>
      <c r="H116">
        <v>7</v>
      </c>
      <c r="I116">
        <f t="shared" si="8"/>
        <v>4.6970101939323881</v>
      </c>
      <c r="J116">
        <f t="shared" si="9"/>
        <v>25.031837775042913</v>
      </c>
      <c r="K116">
        <f t="shared" si="10"/>
        <v>67.752263824618439</v>
      </c>
      <c r="L116" s="6" t="str">
        <f t="shared" si="11"/>
        <v>Apr</v>
      </c>
    </row>
    <row r="117" spans="1:12" x14ac:dyDescent="0.25">
      <c r="A117" s="1">
        <v>45042</v>
      </c>
      <c r="B117" t="s">
        <v>6</v>
      </c>
      <c r="C117">
        <v>1319.0124548712699</v>
      </c>
      <c r="D117">
        <v>16</v>
      </c>
      <c r="E117">
        <v>471.09028029872701</v>
      </c>
      <c r="F117" t="s">
        <v>9</v>
      </c>
      <c r="G117">
        <f t="shared" si="7"/>
        <v>10.333333333333334</v>
      </c>
      <c r="H117">
        <v>7</v>
      </c>
      <c r="I117">
        <f t="shared" si="8"/>
        <v>4.4309517412552948</v>
      </c>
      <c r="J117">
        <f t="shared" si="9"/>
        <v>24.312549016152321</v>
      </c>
      <c r="K117">
        <f t="shared" si="10"/>
        <v>64.613110091379042</v>
      </c>
      <c r="L117" s="6" t="str">
        <f t="shared" si="11"/>
        <v>Apr</v>
      </c>
    </row>
    <row r="118" spans="1:12" x14ac:dyDescent="0.25">
      <c r="A118" s="1">
        <v>45043</v>
      </c>
      <c r="B118" t="s">
        <v>6</v>
      </c>
      <c r="C118">
        <v>943.85672049863501</v>
      </c>
      <c r="D118">
        <v>5</v>
      </c>
      <c r="E118">
        <v>252.88442120168199</v>
      </c>
      <c r="F118" t="s">
        <v>7</v>
      </c>
      <c r="G118">
        <f t="shared" si="7"/>
        <v>9.8571428571428577</v>
      </c>
      <c r="H118">
        <v>7</v>
      </c>
      <c r="I118">
        <f t="shared" si="8"/>
        <v>4.3276519532618885</v>
      </c>
      <c r="J118">
        <f t="shared" si="9"/>
        <v>24.027475724574543</v>
      </c>
      <c r="K118">
        <f t="shared" si="10"/>
        <v>63.388500632813624</v>
      </c>
      <c r="L118" s="6" t="str">
        <f t="shared" si="11"/>
        <v>Apr</v>
      </c>
    </row>
    <row r="119" spans="1:12" x14ac:dyDescent="0.25">
      <c r="A119" s="1">
        <v>45044</v>
      </c>
      <c r="B119" t="s">
        <v>6</v>
      </c>
      <c r="C119">
        <v>871.34711931086804</v>
      </c>
      <c r="D119">
        <v>12</v>
      </c>
      <c r="E119">
        <v>169.231502632706</v>
      </c>
      <c r="F119" t="s">
        <v>11</v>
      </c>
      <c r="G119">
        <f t="shared" si="7"/>
        <v>9.8095238095238102</v>
      </c>
      <c r="H119">
        <v>7</v>
      </c>
      <c r="I119">
        <f t="shared" si="8"/>
        <v>4.3888386575385478</v>
      </c>
      <c r="J119">
        <f t="shared" si="9"/>
        <v>24.196736329767411</v>
      </c>
      <c r="K119">
        <f t="shared" si="10"/>
        <v>64.114268881665623</v>
      </c>
      <c r="L119" s="6" t="str">
        <f t="shared" si="11"/>
        <v>Apr</v>
      </c>
    </row>
    <row r="120" spans="1:12" x14ac:dyDescent="0.25">
      <c r="A120" s="1">
        <v>45045</v>
      </c>
      <c r="B120" t="s">
        <v>6</v>
      </c>
      <c r="C120">
        <v>969.09303958083501</v>
      </c>
      <c r="D120">
        <v>15</v>
      </c>
      <c r="E120">
        <v>170.74688889999999</v>
      </c>
      <c r="F120" t="s">
        <v>7</v>
      </c>
      <c r="G120">
        <f t="shared" si="7"/>
        <v>9.7142857142857135</v>
      </c>
      <c r="H120">
        <v>7</v>
      </c>
      <c r="I120">
        <f t="shared" si="8"/>
        <v>4.3605373194465056</v>
      </c>
      <c r="J120">
        <f t="shared" si="9"/>
        <v>24.118594066766462</v>
      </c>
      <c r="K120">
        <f t="shared" si="10"/>
        <v>63.778719210303727</v>
      </c>
      <c r="L120" s="6" t="str">
        <f t="shared" si="11"/>
        <v>Apr</v>
      </c>
    </row>
    <row r="121" spans="1:12" x14ac:dyDescent="0.25">
      <c r="A121" s="1">
        <v>45046</v>
      </c>
      <c r="B121" t="s">
        <v>6</v>
      </c>
      <c r="C121">
        <v>821.74697538101202</v>
      </c>
      <c r="D121">
        <v>3</v>
      </c>
      <c r="E121">
        <v>270.31086323950302</v>
      </c>
      <c r="F121" t="s">
        <v>7</v>
      </c>
      <c r="G121">
        <f t="shared" si="7"/>
        <v>9.3809523809523814</v>
      </c>
      <c r="H121">
        <v>7</v>
      </c>
      <c r="I121">
        <f t="shared" si="8"/>
        <v>4.2009069315588325</v>
      </c>
      <c r="J121">
        <f t="shared" si="9"/>
        <v>23.673011784250797</v>
      </c>
      <c r="K121">
        <f t="shared" si="10"/>
        <v>61.881260542714465</v>
      </c>
      <c r="L121" s="6" t="str">
        <f t="shared" si="11"/>
        <v>Apr</v>
      </c>
    </row>
    <row r="122" spans="1:12" x14ac:dyDescent="0.25">
      <c r="A122" s="1">
        <v>45047</v>
      </c>
      <c r="B122" t="s">
        <v>6</v>
      </c>
      <c r="C122">
        <v>928.5164618</v>
      </c>
      <c r="D122">
        <v>14</v>
      </c>
      <c r="E122">
        <v>226.298978161701</v>
      </c>
      <c r="F122" t="s">
        <v>7</v>
      </c>
      <c r="G122">
        <f t="shared" si="7"/>
        <v>10</v>
      </c>
      <c r="H122">
        <v>7</v>
      </c>
      <c r="I122">
        <f t="shared" si="8"/>
        <v>4.1713307229228418</v>
      </c>
      <c r="J122">
        <f t="shared" si="9"/>
        <v>23.589530448160989</v>
      </c>
      <c r="K122">
        <f t="shared" si="10"/>
        <v>61.528776547125887</v>
      </c>
      <c r="L122" s="6" t="str">
        <f t="shared" si="11"/>
        <v>May</v>
      </c>
    </row>
    <row r="123" spans="1:12" x14ac:dyDescent="0.25">
      <c r="A123" s="1">
        <v>45048</v>
      </c>
      <c r="B123" t="s">
        <v>6</v>
      </c>
      <c r="C123">
        <v>0</v>
      </c>
      <c r="D123">
        <v>4</v>
      </c>
      <c r="E123">
        <v>149.54357961277699</v>
      </c>
      <c r="F123" t="s">
        <v>10</v>
      </c>
      <c r="G123">
        <f t="shared" si="7"/>
        <v>10.142857142857142</v>
      </c>
      <c r="H123">
        <v>7</v>
      </c>
      <c r="I123">
        <f t="shared" si="8"/>
        <v>4.362175079999818</v>
      </c>
      <c r="J123">
        <f t="shared" si="9"/>
        <v>24.123122955158099</v>
      </c>
      <c r="K123">
        <f t="shared" si="10"/>
        <v>63.798143920870729</v>
      </c>
      <c r="L123" s="6" t="str">
        <f t="shared" si="11"/>
        <v>May</v>
      </c>
    </row>
    <row r="124" spans="1:12" x14ac:dyDescent="0.25">
      <c r="A124" s="1">
        <v>45049</v>
      </c>
      <c r="B124" t="s">
        <v>6</v>
      </c>
      <c r="C124">
        <v>0</v>
      </c>
      <c r="D124">
        <v>12</v>
      </c>
      <c r="E124">
        <v>335.38739134748198</v>
      </c>
      <c r="F124" t="s">
        <v>11</v>
      </c>
      <c r="G124">
        <f t="shared" si="7"/>
        <v>10.142857142857142</v>
      </c>
      <c r="H124">
        <v>7</v>
      </c>
      <c r="I124">
        <f t="shared" si="8"/>
        <v>4.362175079999818</v>
      </c>
      <c r="J124">
        <f t="shared" si="9"/>
        <v>24.123122955158099</v>
      </c>
      <c r="K124">
        <f t="shared" si="10"/>
        <v>63.798143920870729</v>
      </c>
      <c r="L124" s="6" t="str">
        <f t="shared" si="11"/>
        <v>May</v>
      </c>
    </row>
    <row r="125" spans="1:12" x14ac:dyDescent="0.25">
      <c r="A125" s="1">
        <v>45050</v>
      </c>
      <c r="B125" t="s">
        <v>6</v>
      </c>
      <c r="C125">
        <v>1072.3145431324399</v>
      </c>
      <c r="D125">
        <v>9</v>
      </c>
      <c r="E125">
        <v>216.86994373699901</v>
      </c>
      <c r="F125" t="s">
        <v>11</v>
      </c>
      <c r="G125">
        <f t="shared" si="7"/>
        <v>9.9523809523809526</v>
      </c>
      <c r="H125">
        <v>7</v>
      </c>
      <c r="I125">
        <f t="shared" si="8"/>
        <v>4.3643578047198464</v>
      </c>
      <c r="J125">
        <f t="shared" si="9"/>
        <v>24.129157507964077</v>
      </c>
      <c r="K125">
        <f t="shared" si="10"/>
        <v>63.82403087470172</v>
      </c>
      <c r="L125" s="6" t="str">
        <f t="shared" si="11"/>
        <v>May</v>
      </c>
    </row>
    <row r="126" spans="1:12" x14ac:dyDescent="0.25">
      <c r="A126" s="1">
        <v>45051</v>
      </c>
      <c r="B126" t="s">
        <v>6</v>
      </c>
      <c r="C126">
        <v>1105.96221835235</v>
      </c>
      <c r="D126">
        <v>8</v>
      </c>
      <c r="E126">
        <v>320.984752197376</v>
      </c>
      <c r="F126" t="s">
        <v>10</v>
      </c>
      <c r="G126">
        <f t="shared" si="7"/>
        <v>10.142857142857142</v>
      </c>
      <c r="H126">
        <v>7</v>
      </c>
      <c r="I126">
        <f t="shared" si="8"/>
        <v>4.4077853201547175</v>
      </c>
      <c r="J126">
        <f t="shared" si="9"/>
        <v>24.248908865595158</v>
      </c>
      <c r="K126">
        <f t="shared" si="10"/>
        <v>64.338765825097582</v>
      </c>
      <c r="L126" s="6" t="str">
        <f t="shared" si="11"/>
        <v>May</v>
      </c>
    </row>
    <row r="127" spans="1:12" x14ac:dyDescent="0.25">
      <c r="A127" s="1">
        <v>45052</v>
      </c>
      <c r="B127" t="s">
        <v>6</v>
      </c>
      <c r="C127">
        <v>565.01794614512403</v>
      </c>
      <c r="D127">
        <v>17</v>
      </c>
      <c r="E127">
        <v>57.800889410508702</v>
      </c>
      <c r="F127" t="s">
        <v>10</v>
      </c>
      <c r="G127">
        <f t="shared" si="7"/>
        <v>10.619047619047619</v>
      </c>
      <c r="H127">
        <v>7</v>
      </c>
      <c r="I127">
        <f t="shared" si="8"/>
        <v>4.6954892234589396</v>
      </c>
      <c r="J127">
        <f t="shared" si="9"/>
        <v>25.027784582988584</v>
      </c>
      <c r="K127">
        <f t="shared" si="10"/>
        <v>67.734377043972273</v>
      </c>
      <c r="L127" s="6" t="str">
        <f t="shared" si="11"/>
        <v>May</v>
      </c>
    </row>
    <row r="128" spans="1:12" x14ac:dyDescent="0.25">
      <c r="A128" s="1">
        <v>45053</v>
      </c>
      <c r="B128" t="s">
        <v>6</v>
      </c>
      <c r="C128">
        <v>1031.0632415918101</v>
      </c>
      <c r="D128">
        <v>9</v>
      </c>
      <c r="E128">
        <v>112.28326843280099</v>
      </c>
      <c r="F128" t="s">
        <v>11</v>
      </c>
      <c r="G128">
        <f t="shared" si="7"/>
        <v>10.19047619047619</v>
      </c>
      <c r="H128">
        <v>7</v>
      </c>
      <c r="I128">
        <f t="shared" si="8"/>
        <v>4.4902009712155166</v>
      </c>
      <c r="J128">
        <f t="shared" si="9"/>
        <v>24.474558934995702</v>
      </c>
      <c r="K128">
        <f t="shared" si="10"/>
        <v>65.314005863670161</v>
      </c>
      <c r="L128" s="6" t="str">
        <f t="shared" si="11"/>
        <v>May</v>
      </c>
    </row>
    <row r="129" spans="1:12" x14ac:dyDescent="0.25">
      <c r="A129" s="1">
        <v>45054</v>
      </c>
      <c r="B129" t="s">
        <v>6</v>
      </c>
      <c r="C129">
        <v>1459.39712337384</v>
      </c>
      <c r="D129">
        <v>7</v>
      </c>
      <c r="E129">
        <v>563.63367293767101</v>
      </c>
      <c r="F129" t="s">
        <v>7</v>
      </c>
      <c r="G129">
        <f t="shared" si="7"/>
        <v>10.428571428571429</v>
      </c>
      <c r="H129">
        <v>7</v>
      </c>
      <c r="I129">
        <f t="shared" si="8"/>
        <v>4.5560007525397612</v>
      </c>
      <c r="J129">
        <f t="shared" si="9"/>
        <v>24.65323285880952</v>
      </c>
      <c r="K129">
        <f t="shared" si="10"/>
        <v>66.091144465242579</v>
      </c>
      <c r="L129" s="6" t="str">
        <f t="shared" si="11"/>
        <v>May</v>
      </c>
    </row>
    <row r="130" spans="1:12" x14ac:dyDescent="0.25">
      <c r="A130" s="1">
        <v>45055</v>
      </c>
      <c r="B130" t="s">
        <v>6</v>
      </c>
      <c r="C130">
        <v>842.11164063190699</v>
      </c>
      <c r="D130">
        <v>9</v>
      </c>
      <c r="E130">
        <v>247.526107857634</v>
      </c>
      <c r="F130" t="s">
        <v>9</v>
      </c>
      <c r="G130">
        <f t="shared" ref="G130:G193" si="12">AVERAGE(D130:D150)</f>
        <v>10.80952380952381</v>
      </c>
      <c r="H130">
        <v>7</v>
      </c>
      <c r="I130">
        <f t="shared" ref="I130:I193" si="13">STDEV(D130:D150)</f>
        <v>4.5893250878429575</v>
      </c>
      <c r="J130">
        <f t="shared" ref="J130:J193" si="14">1.65 * $H$2 * SQRT(I130)</f>
        <v>24.743230185870438</v>
      </c>
      <c r="K130">
        <f t="shared" ref="K130:K193" si="15">($G$2 * I130) + J130</f>
        <v>66.484234556251621</v>
      </c>
      <c r="L130" s="6" t="str">
        <f t="shared" ref="L130:L193" si="16">TEXT(A130,"mmm")</f>
        <v>May</v>
      </c>
    </row>
    <row r="131" spans="1:12" x14ac:dyDescent="0.25">
      <c r="A131" s="1">
        <v>45056</v>
      </c>
      <c r="B131" t="s">
        <v>6</v>
      </c>
      <c r="C131">
        <v>1035.0608147023299</v>
      </c>
      <c r="D131">
        <v>12</v>
      </c>
      <c r="E131">
        <v>195.12160404069201</v>
      </c>
      <c r="F131" t="s">
        <v>7</v>
      </c>
      <c r="G131">
        <f t="shared" si="12"/>
        <v>10.904761904761905</v>
      </c>
      <c r="H131">
        <v>7</v>
      </c>
      <c r="I131">
        <f t="shared" si="13"/>
        <v>4.5706100457680909</v>
      </c>
      <c r="J131">
        <f t="shared" si="14"/>
        <v>24.69272780861964</v>
      </c>
      <c r="K131">
        <f t="shared" si="15"/>
        <v>66.26351441536751</v>
      </c>
      <c r="L131" s="6" t="str">
        <f t="shared" si="16"/>
        <v>May</v>
      </c>
    </row>
    <row r="132" spans="1:12" x14ac:dyDescent="0.25">
      <c r="A132" s="1">
        <v>45057</v>
      </c>
      <c r="B132" t="s">
        <v>6</v>
      </c>
      <c r="C132">
        <v>831.43430093577103</v>
      </c>
      <c r="D132">
        <v>3</v>
      </c>
      <c r="E132">
        <v>297.045452910253</v>
      </c>
      <c r="F132" t="s">
        <v>9</v>
      </c>
      <c r="G132">
        <f t="shared" si="12"/>
        <v>10.857142857142858</v>
      </c>
      <c r="H132">
        <v>7</v>
      </c>
      <c r="I132">
        <f t="shared" si="13"/>
        <v>4.5638329755339884</v>
      </c>
      <c r="J132">
        <f t="shared" si="14"/>
        <v>24.674414451384106</v>
      </c>
      <c r="K132">
        <f t="shared" si="15"/>
        <v>66.183561990764659</v>
      </c>
      <c r="L132" s="6" t="str">
        <f t="shared" si="16"/>
        <v>May</v>
      </c>
    </row>
    <row r="133" spans="1:12" x14ac:dyDescent="0.25">
      <c r="A133" s="1">
        <v>45058</v>
      </c>
      <c r="B133" t="s">
        <v>6</v>
      </c>
      <c r="C133">
        <v>1233.8981596808001</v>
      </c>
      <c r="D133">
        <v>18</v>
      </c>
      <c r="E133">
        <v>359.15159518923298</v>
      </c>
      <c r="F133" t="s">
        <v>9</v>
      </c>
      <c r="G133">
        <f t="shared" si="12"/>
        <v>11.428571428571429</v>
      </c>
      <c r="H133">
        <v>7</v>
      </c>
      <c r="I133">
        <f t="shared" si="13"/>
        <v>4.2728377990678359</v>
      </c>
      <c r="J133">
        <f t="shared" si="14"/>
        <v>23.874824491295154</v>
      </c>
      <c r="K133">
        <f t="shared" si="15"/>
        <v>62.737301616150233</v>
      </c>
      <c r="L133" s="6" t="str">
        <f t="shared" si="16"/>
        <v>May</v>
      </c>
    </row>
    <row r="134" spans="1:12" x14ac:dyDescent="0.25">
      <c r="A134" s="1">
        <v>45059</v>
      </c>
      <c r="B134" t="s">
        <v>6</v>
      </c>
      <c r="C134">
        <v>965.71361331943399</v>
      </c>
      <c r="D134">
        <v>11</v>
      </c>
      <c r="E134">
        <v>208.97659009245999</v>
      </c>
      <c r="F134" t="s">
        <v>10</v>
      </c>
      <c r="G134">
        <f t="shared" si="12"/>
        <v>11.428571428571429</v>
      </c>
      <c r="H134">
        <v>7</v>
      </c>
      <c r="I134">
        <f t="shared" si="13"/>
        <v>4.2728377990678359</v>
      </c>
      <c r="J134">
        <f t="shared" si="14"/>
        <v>23.874824491295154</v>
      </c>
      <c r="K134">
        <f t="shared" si="15"/>
        <v>62.737301616150233</v>
      </c>
      <c r="L134" s="6" t="str">
        <f t="shared" si="16"/>
        <v>May</v>
      </c>
    </row>
    <row r="135" spans="1:12" x14ac:dyDescent="0.25">
      <c r="A135" s="1">
        <v>45060</v>
      </c>
      <c r="B135" t="s">
        <v>6</v>
      </c>
      <c r="C135">
        <v>633.79898509542602</v>
      </c>
      <c r="D135">
        <v>13</v>
      </c>
      <c r="E135">
        <v>178.771371460203</v>
      </c>
      <c r="F135" t="s">
        <v>10</v>
      </c>
      <c r="G135">
        <f t="shared" si="12"/>
        <v>11.095238095238095</v>
      </c>
      <c r="H135">
        <v>7</v>
      </c>
      <c r="I135">
        <f t="shared" si="13"/>
        <v>4.5706100457680909</v>
      </c>
      <c r="J135">
        <f t="shared" si="14"/>
        <v>24.69272780861964</v>
      </c>
      <c r="K135">
        <f t="shared" si="15"/>
        <v>66.26351441536751</v>
      </c>
      <c r="L135" s="6" t="str">
        <f t="shared" si="16"/>
        <v>May</v>
      </c>
    </row>
    <row r="136" spans="1:12" x14ac:dyDescent="0.25">
      <c r="A136" s="1">
        <v>45061</v>
      </c>
      <c r="B136" t="s">
        <v>6</v>
      </c>
      <c r="C136">
        <v>1609.9881308399299</v>
      </c>
      <c r="D136">
        <v>12</v>
      </c>
      <c r="E136">
        <v>562.21840579272202</v>
      </c>
      <c r="F136" t="s">
        <v>11</v>
      </c>
      <c r="G136">
        <f t="shared" si="12"/>
        <v>10.666666666666666</v>
      </c>
      <c r="H136">
        <v>7</v>
      </c>
      <c r="I136">
        <f t="shared" si="13"/>
        <v>4.7993055053135887</v>
      </c>
      <c r="J136">
        <f t="shared" si="14"/>
        <v>25.302951461689126</v>
      </c>
      <c r="K136">
        <f t="shared" si="15"/>
        <v>68.953777724303194</v>
      </c>
      <c r="L136" s="6" t="str">
        <f t="shared" si="16"/>
        <v>May</v>
      </c>
    </row>
    <row r="137" spans="1:12" x14ac:dyDescent="0.25">
      <c r="A137" s="1">
        <v>45062</v>
      </c>
      <c r="B137" t="s">
        <v>6</v>
      </c>
      <c r="C137">
        <v>1269.8394913444699</v>
      </c>
      <c r="D137">
        <v>8</v>
      </c>
      <c r="E137">
        <v>142.01613108690799</v>
      </c>
      <c r="F137" t="s">
        <v>7</v>
      </c>
      <c r="G137">
        <f t="shared" si="12"/>
        <v>10.333333333333334</v>
      </c>
      <c r="H137">
        <v>7</v>
      </c>
      <c r="I137">
        <f t="shared" si="13"/>
        <v>4.9430085305746063</v>
      </c>
      <c r="J137">
        <f t="shared" si="14"/>
        <v>25.678973801536127</v>
      </c>
      <c r="K137">
        <f t="shared" si="15"/>
        <v>70.636813293905163</v>
      </c>
      <c r="L137" s="6" t="str">
        <f t="shared" si="16"/>
        <v>May</v>
      </c>
    </row>
    <row r="138" spans="1:12" x14ac:dyDescent="0.25">
      <c r="A138" s="1">
        <v>45063</v>
      </c>
      <c r="B138" t="s">
        <v>6</v>
      </c>
      <c r="C138">
        <v>727.19056910781603</v>
      </c>
      <c r="D138">
        <v>6</v>
      </c>
      <c r="E138">
        <v>201.15506009989701</v>
      </c>
      <c r="F138" t="s">
        <v>10</v>
      </c>
      <c r="G138">
        <f t="shared" si="12"/>
        <v>10.80952380952381</v>
      </c>
      <c r="H138">
        <v>7</v>
      </c>
      <c r="I138">
        <f t="shared" si="13"/>
        <v>5.1828471675233461</v>
      </c>
      <c r="J138">
        <f t="shared" si="14"/>
        <v>26.294576803316936</v>
      </c>
      <c r="K138">
        <f t="shared" si="15"/>
        <v>73.433805803172135</v>
      </c>
      <c r="L138" s="6" t="str">
        <f t="shared" si="16"/>
        <v>May</v>
      </c>
    </row>
    <row r="139" spans="1:12" x14ac:dyDescent="0.25">
      <c r="A139" s="1">
        <v>45064</v>
      </c>
      <c r="B139" t="s">
        <v>6</v>
      </c>
      <c r="C139">
        <v>1085.6662224572899</v>
      </c>
      <c r="D139">
        <v>4</v>
      </c>
      <c r="E139">
        <v>371.27266355303499</v>
      </c>
      <c r="F139" t="s">
        <v>9</v>
      </c>
      <c r="G139">
        <f t="shared" si="12"/>
        <v>10.666666666666666</v>
      </c>
      <c r="H139">
        <v>7</v>
      </c>
      <c r="I139">
        <f t="shared" si="13"/>
        <v>5.3603482473933841</v>
      </c>
      <c r="J139">
        <f t="shared" si="14"/>
        <v>26.741051906626556</v>
      </c>
      <c r="K139">
        <f t="shared" si="15"/>
        <v>75.494695490061616</v>
      </c>
      <c r="L139" s="6" t="str">
        <f t="shared" si="16"/>
        <v>May</v>
      </c>
    </row>
    <row r="140" spans="1:12" x14ac:dyDescent="0.25">
      <c r="A140" s="1">
        <v>45065</v>
      </c>
      <c r="B140" t="s">
        <v>6</v>
      </c>
      <c r="C140">
        <v>1337.2338159957999</v>
      </c>
      <c r="D140">
        <v>10</v>
      </c>
      <c r="E140">
        <v>187.65474193027401</v>
      </c>
      <c r="F140" t="s">
        <v>10</v>
      </c>
      <c r="G140">
        <f t="shared" si="12"/>
        <v>11.142857142857142</v>
      </c>
      <c r="H140">
        <v>7</v>
      </c>
      <c r="I140">
        <f t="shared" si="13"/>
        <v>5.1796304335899706</v>
      </c>
      <c r="J140">
        <f t="shared" si="14"/>
        <v>26.286415672681315</v>
      </c>
      <c r="K140">
        <f t="shared" si="15"/>
        <v>73.396387711523431</v>
      </c>
      <c r="L140" s="6" t="str">
        <f t="shared" si="16"/>
        <v>May</v>
      </c>
    </row>
    <row r="141" spans="1:12" x14ac:dyDescent="0.25">
      <c r="A141" s="1">
        <v>45066</v>
      </c>
      <c r="B141" t="s">
        <v>6</v>
      </c>
      <c r="C141">
        <v>1154.8534861344799</v>
      </c>
      <c r="D141">
        <v>8</v>
      </c>
      <c r="E141">
        <v>440.14620092574597</v>
      </c>
      <c r="F141" t="s">
        <v>11</v>
      </c>
      <c r="G141">
        <f t="shared" si="12"/>
        <v>11.285714285714286</v>
      </c>
      <c r="H141">
        <v>7</v>
      </c>
      <c r="I141">
        <f t="shared" si="13"/>
        <v>5.1878980053857759</v>
      </c>
      <c r="J141">
        <f t="shared" si="14"/>
        <v>26.307386104732558</v>
      </c>
      <c r="K141">
        <f t="shared" si="15"/>
        <v>73.492553677526985</v>
      </c>
      <c r="L141" s="6" t="str">
        <f t="shared" si="16"/>
        <v>May</v>
      </c>
    </row>
    <row r="142" spans="1:12" x14ac:dyDescent="0.25">
      <c r="A142" s="1">
        <v>45067</v>
      </c>
      <c r="B142" t="s">
        <v>6</v>
      </c>
      <c r="C142">
        <v>1009.05723616304</v>
      </c>
      <c r="D142">
        <v>16</v>
      </c>
      <c r="E142">
        <v>307.28274438536101</v>
      </c>
      <c r="F142" t="s">
        <v>7</v>
      </c>
      <c r="G142">
        <f t="shared" si="12"/>
        <v>11.523809523809524</v>
      </c>
      <c r="H142">
        <v>7</v>
      </c>
      <c r="I142">
        <f t="shared" si="13"/>
        <v>5.1441136031297727</v>
      </c>
      <c r="J142">
        <f t="shared" si="14"/>
        <v>26.196137404997692</v>
      </c>
      <c r="K142">
        <f t="shared" si="15"/>
        <v>72.983075414416106</v>
      </c>
      <c r="L142" s="6" t="str">
        <f t="shared" si="16"/>
        <v>May</v>
      </c>
    </row>
    <row r="143" spans="1:12" x14ac:dyDescent="0.25">
      <c r="A143" s="1">
        <v>45068</v>
      </c>
      <c r="B143" t="s">
        <v>6</v>
      </c>
      <c r="C143">
        <v>858.75130704585195</v>
      </c>
      <c r="D143">
        <v>17</v>
      </c>
      <c r="E143">
        <v>250.87802220960299</v>
      </c>
      <c r="F143" t="s">
        <v>7</v>
      </c>
      <c r="G143">
        <f t="shared" si="12"/>
        <v>11.238095238095237</v>
      </c>
      <c r="H143">
        <v>7</v>
      </c>
      <c r="I143">
        <f t="shared" si="13"/>
        <v>5.0488093834562813</v>
      </c>
      <c r="J143">
        <f t="shared" si="14"/>
        <v>25.952336961755996</v>
      </c>
      <c r="K143">
        <f t="shared" si="15"/>
        <v>71.872460401763135</v>
      </c>
      <c r="L143" s="6" t="str">
        <f t="shared" si="16"/>
        <v>May</v>
      </c>
    </row>
    <row r="144" spans="1:12" x14ac:dyDescent="0.25">
      <c r="A144" s="1">
        <v>45069</v>
      </c>
      <c r="B144" t="s">
        <v>6</v>
      </c>
      <c r="C144">
        <v>1157.1313329498601</v>
      </c>
      <c r="D144">
        <v>4</v>
      </c>
      <c r="E144">
        <v>165.3110088</v>
      </c>
      <c r="F144" t="s">
        <v>9</v>
      </c>
      <c r="G144">
        <f t="shared" si="12"/>
        <v>11.142857142857142</v>
      </c>
      <c r="H144">
        <v>7</v>
      </c>
      <c r="I144">
        <f t="shared" si="13"/>
        <v>4.9526327774802184</v>
      </c>
      <c r="J144">
        <f t="shared" si="14"/>
        <v>25.703960669472799</v>
      </c>
      <c r="K144">
        <f t="shared" si="15"/>
        <v>70.749334978935735</v>
      </c>
      <c r="L144" s="6" t="str">
        <f t="shared" si="16"/>
        <v>May</v>
      </c>
    </row>
    <row r="145" spans="1:12" x14ac:dyDescent="0.25">
      <c r="A145" s="1">
        <v>45070</v>
      </c>
      <c r="B145" t="s">
        <v>6</v>
      </c>
      <c r="C145">
        <v>1478.8239206599401</v>
      </c>
      <c r="D145">
        <v>8</v>
      </c>
      <c r="E145">
        <v>149.57708996676899</v>
      </c>
      <c r="F145" t="s">
        <v>7</v>
      </c>
      <c r="G145">
        <f t="shared" si="12"/>
        <v>11.761904761904763</v>
      </c>
      <c r="H145">
        <v>7</v>
      </c>
      <c r="I145">
        <f t="shared" si="13"/>
        <v>4.8260207407838802</v>
      </c>
      <c r="J145">
        <f t="shared" si="14"/>
        <v>25.373277909494107</v>
      </c>
      <c r="K145">
        <f t="shared" si="15"/>
        <v>69.267085599480822</v>
      </c>
      <c r="L145" s="6" t="str">
        <f t="shared" si="16"/>
        <v>May</v>
      </c>
    </row>
    <row r="146" spans="1:12" x14ac:dyDescent="0.25">
      <c r="A146" s="1">
        <v>45071</v>
      </c>
      <c r="B146" t="s">
        <v>6</v>
      </c>
      <c r="C146">
        <v>1156.6731043744001</v>
      </c>
      <c r="D146">
        <v>13</v>
      </c>
      <c r="E146">
        <v>179.10177461525299</v>
      </c>
      <c r="F146" t="s">
        <v>11</v>
      </c>
      <c r="G146">
        <f t="shared" si="12"/>
        <v>11.666666666666666</v>
      </c>
      <c r="H146">
        <v>7</v>
      </c>
      <c r="I146">
        <f t="shared" si="13"/>
        <v>4.9227363664260277</v>
      </c>
      <c r="J146">
        <f t="shared" si="14"/>
        <v>25.626262663957615</v>
      </c>
      <c r="K146">
        <f t="shared" si="15"/>
        <v>70.399721996689578</v>
      </c>
      <c r="L146" s="6" t="str">
        <f t="shared" si="16"/>
        <v>May</v>
      </c>
    </row>
    <row r="147" spans="1:12" x14ac:dyDescent="0.25">
      <c r="A147" s="1">
        <v>45072</v>
      </c>
      <c r="B147" t="s">
        <v>6</v>
      </c>
      <c r="C147">
        <v>1180.36202467873</v>
      </c>
      <c r="D147">
        <v>18</v>
      </c>
      <c r="E147">
        <v>342.69125305853697</v>
      </c>
      <c r="F147" t="s">
        <v>9</v>
      </c>
      <c r="G147">
        <f t="shared" si="12"/>
        <v>11.904761904761905</v>
      </c>
      <c r="H147">
        <v>7</v>
      </c>
      <c r="I147">
        <f t="shared" si="13"/>
        <v>5.1078837291461712</v>
      </c>
      <c r="J147">
        <f t="shared" si="14"/>
        <v>26.103725005780728</v>
      </c>
      <c r="K147">
        <f t="shared" si="15"/>
        <v>72.561143685157802</v>
      </c>
      <c r="L147" s="6" t="str">
        <f t="shared" si="16"/>
        <v>May</v>
      </c>
    </row>
    <row r="148" spans="1:12" x14ac:dyDescent="0.25">
      <c r="A148" s="1">
        <v>45073</v>
      </c>
      <c r="B148" t="s">
        <v>6</v>
      </c>
      <c r="C148">
        <v>533.87237019518</v>
      </c>
      <c r="D148">
        <v>8</v>
      </c>
      <c r="E148">
        <v>157.75497605134501</v>
      </c>
      <c r="F148" t="s">
        <v>10</v>
      </c>
      <c r="G148">
        <f t="shared" si="12"/>
        <v>11.380952380952381</v>
      </c>
      <c r="H148">
        <v>7</v>
      </c>
      <c r="I148">
        <f t="shared" si="13"/>
        <v>5.0147401774786937</v>
      </c>
      <c r="J148">
        <f t="shared" si="14"/>
        <v>25.864625969190069</v>
      </c>
      <c r="K148">
        <f t="shared" si="15"/>
        <v>71.474881869115336</v>
      </c>
      <c r="L148" s="6" t="str">
        <f t="shared" si="16"/>
        <v>May</v>
      </c>
    </row>
    <row r="149" spans="1:12" x14ac:dyDescent="0.25">
      <c r="A149" s="1">
        <v>45074</v>
      </c>
      <c r="B149" t="s">
        <v>6</v>
      </c>
      <c r="C149">
        <v>1176.91662782241</v>
      </c>
      <c r="D149">
        <v>14</v>
      </c>
      <c r="E149">
        <v>203.09657752432301</v>
      </c>
      <c r="F149" t="s">
        <v>10</v>
      </c>
      <c r="G149">
        <f t="shared" si="12"/>
        <v>11.428571428571429</v>
      </c>
      <c r="H149">
        <v>7</v>
      </c>
      <c r="I149">
        <f t="shared" si="13"/>
        <v>4.9856938190329005</v>
      </c>
      <c r="J149">
        <f t="shared" si="14"/>
        <v>25.789610692942542</v>
      </c>
      <c r="K149">
        <f t="shared" si="15"/>
        <v>71.135683047003681</v>
      </c>
      <c r="L149" s="6" t="str">
        <f t="shared" si="16"/>
        <v>May</v>
      </c>
    </row>
    <row r="150" spans="1:12" x14ac:dyDescent="0.25">
      <c r="A150" s="1">
        <v>45075</v>
      </c>
      <c r="B150" t="s">
        <v>6</v>
      </c>
      <c r="C150">
        <v>771.055353056885</v>
      </c>
      <c r="D150">
        <v>15</v>
      </c>
      <c r="E150">
        <v>263.81401465609798</v>
      </c>
      <c r="F150" t="s">
        <v>10</v>
      </c>
      <c r="G150">
        <f t="shared" si="12"/>
        <v>11.666666666666666</v>
      </c>
      <c r="H150">
        <v>7</v>
      </c>
      <c r="I150">
        <f t="shared" si="13"/>
        <v>5.2281290471193733</v>
      </c>
      <c r="J150">
        <f t="shared" si="14"/>
        <v>26.409193194952813</v>
      </c>
      <c r="K150">
        <f t="shared" si="15"/>
        <v>73.960271671133768</v>
      </c>
      <c r="L150" s="6" t="str">
        <f t="shared" si="16"/>
        <v>May</v>
      </c>
    </row>
    <row r="151" spans="1:12" x14ac:dyDescent="0.25">
      <c r="A151" s="1">
        <v>45076</v>
      </c>
      <c r="B151" t="s">
        <v>6</v>
      </c>
      <c r="C151">
        <v>1597.3757804930499</v>
      </c>
      <c r="D151">
        <v>11</v>
      </c>
      <c r="E151">
        <v>557.37063161745402</v>
      </c>
      <c r="F151" t="s">
        <v>9</v>
      </c>
      <c r="G151">
        <f t="shared" si="12"/>
        <v>11.428571428571429</v>
      </c>
      <c r="H151">
        <v>7</v>
      </c>
      <c r="I151">
        <f t="shared" si="13"/>
        <v>5.1823877563477305</v>
      </c>
      <c r="J151">
        <f t="shared" si="14"/>
        <v>26.293411392707831</v>
      </c>
      <c r="K151">
        <f t="shared" si="15"/>
        <v>73.428461938537197</v>
      </c>
      <c r="L151" s="6" t="str">
        <f t="shared" si="16"/>
        <v>May</v>
      </c>
    </row>
    <row r="152" spans="1:12" x14ac:dyDescent="0.25">
      <c r="A152" s="1">
        <v>45077</v>
      </c>
      <c r="B152" t="s">
        <v>6</v>
      </c>
      <c r="C152">
        <v>1637.9306766919599</v>
      </c>
      <c r="D152">
        <v>11</v>
      </c>
      <c r="E152">
        <v>636.87741229754704</v>
      </c>
      <c r="F152" t="s">
        <v>11</v>
      </c>
      <c r="G152">
        <f t="shared" si="12"/>
        <v>11.19047619047619</v>
      </c>
      <c r="H152">
        <v>7</v>
      </c>
      <c r="I152">
        <f t="shared" si="13"/>
        <v>5.3161926942036981</v>
      </c>
      <c r="J152">
        <f t="shared" si="14"/>
        <v>26.630685231298663</v>
      </c>
      <c r="K152">
        <f t="shared" si="15"/>
        <v>74.982723545246586</v>
      </c>
      <c r="L152" s="6" t="str">
        <f t="shared" si="16"/>
        <v>May</v>
      </c>
    </row>
    <row r="153" spans="1:12" x14ac:dyDescent="0.25">
      <c r="A153" s="1">
        <v>45078</v>
      </c>
      <c r="B153" t="s">
        <v>6</v>
      </c>
      <c r="C153">
        <v>1473.43204237345</v>
      </c>
      <c r="D153">
        <v>15</v>
      </c>
      <c r="E153">
        <v>552.89911614575499</v>
      </c>
      <c r="F153" t="s">
        <v>11</v>
      </c>
      <c r="G153">
        <f t="shared" si="12"/>
        <v>11.285714285714286</v>
      </c>
      <c r="H153">
        <v>7</v>
      </c>
      <c r="I153">
        <f t="shared" si="13"/>
        <v>5.3305052025380961</v>
      </c>
      <c r="J153">
        <f t="shared" si="14"/>
        <v>26.666509338149009</v>
      </c>
      <c r="K153">
        <f t="shared" si="15"/>
        <v>75.148723323138356</v>
      </c>
      <c r="L153" s="6" t="str">
        <f t="shared" si="16"/>
        <v>Jun</v>
      </c>
    </row>
    <row r="154" spans="1:12" x14ac:dyDescent="0.25">
      <c r="A154" s="1">
        <v>45079</v>
      </c>
      <c r="B154" t="s">
        <v>6</v>
      </c>
      <c r="C154">
        <v>1196.3962488724001</v>
      </c>
      <c r="D154">
        <v>18</v>
      </c>
      <c r="E154">
        <v>315.91787182394501</v>
      </c>
      <c r="F154" t="s">
        <v>10</v>
      </c>
      <c r="G154">
        <f t="shared" si="12"/>
        <v>11.476190476190476</v>
      </c>
      <c r="H154">
        <v>7</v>
      </c>
      <c r="I154">
        <f t="shared" si="13"/>
        <v>5.5373192757781968</v>
      </c>
      <c r="J154">
        <f t="shared" si="14"/>
        <v>27.178893183626901</v>
      </c>
      <c r="K154">
        <f t="shared" si="15"/>
        <v>77.542130406180974</v>
      </c>
      <c r="L154" s="6" t="str">
        <f t="shared" si="16"/>
        <v>Jun</v>
      </c>
    </row>
    <row r="155" spans="1:12" x14ac:dyDescent="0.25">
      <c r="A155" s="1">
        <v>45080</v>
      </c>
      <c r="B155" t="s">
        <v>6</v>
      </c>
      <c r="C155">
        <v>1111.32821539417</v>
      </c>
      <c r="D155">
        <v>4</v>
      </c>
      <c r="E155">
        <v>428.33805950608797</v>
      </c>
      <c r="F155" t="s">
        <v>11</v>
      </c>
      <c r="G155">
        <f t="shared" si="12"/>
        <v>11.476190476190476</v>
      </c>
      <c r="H155">
        <v>7</v>
      </c>
      <c r="I155">
        <f t="shared" si="13"/>
        <v>5.5373192757781968</v>
      </c>
      <c r="J155">
        <f t="shared" si="14"/>
        <v>27.178893183626901</v>
      </c>
      <c r="K155">
        <f t="shared" si="15"/>
        <v>77.542130406180974</v>
      </c>
      <c r="L155" s="6" t="str">
        <f t="shared" si="16"/>
        <v>Jun</v>
      </c>
    </row>
    <row r="156" spans="1:12" x14ac:dyDescent="0.25">
      <c r="A156" s="1">
        <v>45081</v>
      </c>
      <c r="B156" t="s">
        <v>6</v>
      </c>
      <c r="C156">
        <v>1314.9952877714099</v>
      </c>
      <c r="D156">
        <v>4</v>
      </c>
      <c r="E156">
        <v>229.07493371053701</v>
      </c>
      <c r="F156" t="s">
        <v>7</v>
      </c>
      <c r="G156">
        <f t="shared" si="12"/>
        <v>12.047619047619047</v>
      </c>
      <c r="H156">
        <v>7</v>
      </c>
      <c r="I156">
        <f t="shared" si="13"/>
        <v>5.3429971970439061</v>
      </c>
      <c r="J156">
        <f t="shared" si="14"/>
        <v>26.697737424333351</v>
      </c>
      <c r="K156">
        <f t="shared" si="15"/>
        <v>75.293569073637443</v>
      </c>
      <c r="L156" s="6" t="str">
        <f t="shared" si="16"/>
        <v>Jun</v>
      </c>
    </row>
    <row r="157" spans="1:12" x14ac:dyDescent="0.25">
      <c r="A157" s="1">
        <v>45082</v>
      </c>
      <c r="B157" t="s">
        <v>6</v>
      </c>
      <c r="C157">
        <v>674.74258269330198</v>
      </c>
      <c r="D157">
        <v>5</v>
      </c>
      <c r="E157">
        <v>117.231282202128</v>
      </c>
      <c r="F157" t="s">
        <v>7</v>
      </c>
      <c r="G157">
        <f t="shared" si="12"/>
        <v>12.095238095238095</v>
      </c>
      <c r="H157">
        <v>7</v>
      </c>
      <c r="I157">
        <f t="shared" si="13"/>
        <v>5.271667306505238</v>
      </c>
      <c r="J157">
        <f t="shared" si="14"/>
        <v>26.518929048060457</v>
      </c>
      <c r="K157">
        <f t="shared" si="15"/>
        <v>74.465998359608093</v>
      </c>
      <c r="L157" s="6" t="str">
        <f t="shared" si="16"/>
        <v>Jun</v>
      </c>
    </row>
    <row r="158" spans="1:12" x14ac:dyDescent="0.25">
      <c r="A158" s="1">
        <v>45083</v>
      </c>
      <c r="B158" t="s">
        <v>6</v>
      </c>
      <c r="C158">
        <v>440.038014591815</v>
      </c>
      <c r="D158">
        <v>18</v>
      </c>
      <c r="E158">
        <v>175.01750184321099</v>
      </c>
      <c r="F158" t="s">
        <v>7</v>
      </c>
      <c r="G158">
        <f t="shared" si="12"/>
        <v>12.285714285714286</v>
      </c>
      <c r="H158">
        <v>7</v>
      </c>
      <c r="I158">
        <f t="shared" si="13"/>
        <v>5.0709255283710988</v>
      </c>
      <c r="J158">
        <f t="shared" si="14"/>
        <v>26.009116532449262</v>
      </c>
      <c r="K158">
        <f t="shared" si="15"/>
        <v>72.130391576205454</v>
      </c>
      <c r="L158" s="6" t="str">
        <f t="shared" si="16"/>
        <v>Jun</v>
      </c>
    </row>
    <row r="159" spans="1:12" x14ac:dyDescent="0.25">
      <c r="A159" s="1">
        <v>45084</v>
      </c>
      <c r="B159" t="s">
        <v>6</v>
      </c>
      <c r="C159">
        <v>1175.3238941417401</v>
      </c>
      <c r="D159">
        <v>3</v>
      </c>
      <c r="E159">
        <v>232.59839604950099</v>
      </c>
      <c r="F159" t="s">
        <v>9</v>
      </c>
      <c r="G159">
        <f t="shared" si="12"/>
        <v>11.952380952380953</v>
      </c>
      <c r="H159">
        <v>7</v>
      </c>
      <c r="I159">
        <f t="shared" si="13"/>
        <v>4.9038371758877801</v>
      </c>
      <c r="J159">
        <f t="shared" si="14"/>
        <v>25.577023651245455</v>
      </c>
      <c r="K159">
        <f t="shared" si="15"/>
        <v>70.17859034622478</v>
      </c>
      <c r="L159" s="6" t="str">
        <f t="shared" si="16"/>
        <v>Jun</v>
      </c>
    </row>
    <row r="160" spans="1:12" x14ac:dyDescent="0.25">
      <c r="A160" s="1">
        <v>45085</v>
      </c>
      <c r="B160" t="s">
        <v>6</v>
      </c>
      <c r="C160">
        <v>870.97023887141597</v>
      </c>
      <c r="D160">
        <v>14</v>
      </c>
      <c r="E160">
        <v>105.690048477697</v>
      </c>
      <c r="F160" t="s">
        <v>11</v>
      </c>
      <c r="G160">
        <f t="shared" si="12"/>
        <v>12.714285714285714</v>
      </c>
      <c r="H160">
        <v>7</v>
      </c>
      <c r="I160">
        <f t="shared" si="13"/>
        <v>4.6812696690412645</v>
      </c>
      <c r="J160">
        <f t="shared" si="14"/>
        <v>24.989859483884199</v>
      </c>
      <c r="K160">
        <f t="shared" si="15"/>
        <v>67.567121711830936</v>
      </c>
      <c r="L160" s="6" t="str">
        <f t="shared" si="16"/>
        <v>Jun</v>
      </c>
    </row>
    <row r="161" spans="1:12" x14ac:dyDescent="0.25">
      <c r="A161" s="1">
        <v>45086</v>
      </c>
      <c r="B161" t="s">
        <v>6</v>
      </c>
      <c r="C161">
        <v>1126.7965196504799</v>
      </c>
      <c r="D161">
        <v>13</v>
      </c>
      <c r="E161">
        <v>125.380144135336</v>
      </c>
      <c r="F161" t="s">
        <v>10</v>
      </c>
      <c r="G161">
        <f t="shared" si="12"/>
        <v>12.857142857142858</v>
      </c>
      <c r="H161">
        <v>7</v>
      </c>
      <c r="I161">
        <f t="shared" si="13"/>
        <v>4.7674491532234953</v>
      </c>
      <c r="J161">
        <f t="shared" si="14"/>
        <v>25.21883493865046</v>
      </c>
      <c r="K161">
        <f t="shared" si="15"/>
        <v>68.579920094159391</v>
      </c>
      <c r="L161" s="6" t="str">
        <f t="shared" si="16"/>
        <v>Jun</v>
      </c>
    </row>
    <row r="162" spans="1:12" x14ac:dyDescent="0.25">
      <c r="A162" s="1">
        <v>45087</v>
      </c>
      <c r="B162" t="s">
        <v>6</v>
      </c>
      <c r="C162">
        <v>674.85674500394896</v>
      </c>
      <c r="D162">
        <v>13</v>
      </c>
      <c r="E162">
        <v>153.049923772466</v>
      </c>
      <c r="F162" t="s">
        <v>10</v>
      </c>
      <c r="G162">
        <f t="shared" si="12"/>
        <v>13</v>
      </c>
      <c r="H162">
        <v>7</v>
      </c>
      <c r="I162">
        <f t="shared" si="13"/>
        <v>4.8166378315169185</v>
      </c>
      <c r="J162">
        <f t="shared" si="14"/>
        <v>25.348600125429719</v>
      </c>
      <c r="K162">
        <f t="shared" si="15"/>
        <v>69.157068021607415</v>
      </c>
      <c r="L162" s="6" t="str">
        <f t="shared" si="16"/>
        <v>Jun</v>
      </c>
    </row>
    <row r="163" spans="1:12" x14ac:dyDescent="0.25">
      <c r="A163" s="1">
        <v>45088</v>
      </c>
      <c r="B163" t="s">
        <v>6</v>
      </c>
      <c r="C163">
        <v>1470.68034870324</v>
      </c>
      <c r="D163">
        <v>10</v>
      </c>
      <c r="E163">
        <v>460.02329587849698</v>
      </c>
      <c r="F163" t="s">
        <v>9</v>
      </c>
      <c r="G163">
        <f t="shared" si="12"/>
        <v>12.761904761904763</v>
      </c>
      <c r="H163">
        <v>7</v>
      </c>
      <c r="I163">
        <f t="shared" si="13"/>
        <v>4.938671500563304</v>
      </c>
      <c r="J163">
        <f t="shared" si="14"/>
        <v>25.667705874384179</v>
      </c>
      <c r="K163">
        <f t="shared" si="15"/>
        <v>70.586099046174226</v>
      </c>
      <c r="L163" s="6" t="str">
        <f t="shared" si="16"/>
        <v>Jun</v>
      </c>
    </row>
    <row r="164" spans="1:12" x14ac:dyDescent="0.25">
      <c r="A164" s="1">
        <v>45089</v>
      </c>
      <c r="B164" t="s">
        <v>6</v>
      </c>
      <c r="C164">
        <v>638.27136146333805</v>
      </c>
      <c r="D164">
        <v>15</v>
      </c>
      <c r="E164">
        <v>200.60740644236401</v>
      </c>
      <c r="F164" t="s">
        <v>9</v>
      </c>
      <c r="G164">
        <f t="shared" si="12"/>
        <v>12.476190476190476</v>
      </c>
      <c r="H164">
        <v>7</v>
      </c>
      <c r="I164">
        <f t="shared" si="13"/>
        <v>5.2689567052600434</v>
      </c>
      <c r="J164">
        <f t="shared" si="14"/>
        <v>26.512110381360678</v>
      </c>
      <c r="K164">
        <f t="shared" si="15"/>
        <v>74.434526129202027</v>
      </c>
      <c r="L164" s="6" t="str">
        <f t="shared" si="16"/>
        <v>Jun</v>
      </c>
    </row>
    <row r="165" spans="1:12" x14ac:dyDescent="0.25">
      <c r="A165" s="1">
        <v>45090</v>
      </c>
      <c r="B165" t="s">
        <v>6</v>
      </c>
      <c r="C165">
        <v>1342.3398194593699</v>
      </c>
      <c r="D165">
        <v>17</v>
      </c>
      <c r="E165">
        <v>287.46920413629198</v>
      </c>
      <c r="F165" t="s">
        <v>9</v>
      </c>
      <c r="G165">
        <f t="shared" si="12"/>
        <v>12.523809523809524</v>
      </c>
      <c r="H165">
        <v>7</v>
      </c>
      <c r="I165">
        <f t="shared" si="13"/>
        <v>5.2973488427613269</v>
      </c>
      <c r="J165">
        <f t="shared" si="14"/>
        <v>26.583445581723748</v>
      </c>
      <c r="K165">
        <f t="shared" si="15"/>
        <v>74.764094580171999</v>
      </c>
      <c r="L165" s="6" t="str">
        <f t="shared" si="16"/>
        <v>Jun</v>
      </c>
    </row>
    <row r="166" spans="1:12" x14ac:dyDescent="0.25">
      <c r="A166" s="1">
        <v>45091</v>
      </c>
      <c r="B166" t="s">
        <v>6</v>
      </c>
      <c r="C166">
        <v>1545.7669549899099</v>
      </c>
      <c r="D166">
        <v>6</v>
      </c>
      <c r="E166">
        <v>209.525167279892</v>
      </c>
      <c r="F166" t="s">
        <v>11</v>
      </c>
      <c r="G166">
        <f t="shared" si="12"/>
        <v>12.19047619047619</v>
      </c>
      <c r="H166">
        <v>7</v>
      </c>
      <c r="I166">
        <f t="shared" si="13"/>
        <v>5.2212933993316994</v>
      </c>
      <c r="J166">
        <f t="shared" si="14"/>
        <v>26.39192286864197</v>
      </c>
      <c r="K166">
        <f t="shared" si="15"/>
        <v>73.880829500658848</v>
      </c>
      <c r="L166" s="6" t="str">
        <f t="shared" si="16"/>
        <v>Jun</v>
      </c>
    </row>
    <row r="167" spans="1:12" x14ac:dyDescent="0.25">
      <c r="A167" s="1">
        <v>45092</v>
      </c>
      <c r="B167" t="s">
        <v>6</v>
      </c>
      <c r="C167">
        <v>1580.4117995300101</v>
      </c>
      <c r="D167">
        <v>18</v>
      </c>
      <c r="E167">
        <v>275.391531981095</v>
      </c>
      <c r="F167" t="s">
        <v>11</v>
      </c>
      <c r="G167">
        <f t="shared" si="12"/>
        <v>12.714285714285714</v>
      </c>
      <c r="H167">
        <v>7</v>
      </c>
      <c r="I167">
        <f t="shared" si="13"/>
        <v>5.1199888392735495</v>
      </c>
      <c r="J167">
        <f t="shared" si="14"/>
        <v>26.134638148082129</v>
      </c>
      <c r="K167">
        <f t="shared" si="15"/>
        <v>72.702155686236793</v>
      </c>
      <c r="L167" s="6" t="str">
        <f t="shared" si="16"/>
        <v>Jun</v>
      </c>
    </row>
    <row r="168" spans="1:12" x14ac:dyDescent="0.25">
      <c r="A168" s="1">
        <v>45093</v>
      </c>
      <c r="B168" t="s">
        <v>6</v>
      </c>
      <c r="C168">
        <v>1049.42313623931</v>
      </c>
      <c r="D168">
        <v>7</v>
      </c>
      <c r="E168">
        <v>304.00176982149901</v>
      </c>
      <c r="F168" t="s">
        <v>10</v>
      </c>
      <c r="G168">
        <f t="shared" si="12"/>
        <v>12.142857142857142</v>
      </c>
      <c r="H168">
        <v>7</v>
      </c>
      <c r="I168">
        <f t="shared" si="13"/>
        <v>5.1699682231684383</v>
      </c>
      <c r="J168">
        <f t="shared" si="14"/>
        <v>26.261886563825293</v>
      </c>
      <c r="K168">
        <f t="shared" si="15"/>
        <v>73.283978498357271</v>
      </c>
      <c r="L168" s="6" t="str">
        <f t="shared" si="16"/>
        <v>Jun</v>
      </c>
    </row>
    <row r="169" spans="1:12" x14ac:dyDescent="0.25">
      <c r="A169" s="1">
        <v>45094</v>
      </c>
      <c r="B169" t="s">
        <v>6</v>
      </c>
      <c r="C169">
        <v>1011.61810611088</v>
      </c>
      <c r="D169">
        <v>9</v>
      </c>
      <c r="E169">
        <v>163.20654648040701</v>
      </c>
      <c r="F169" t="s">
        <v>7</v>
      </c>
      <c r="G169">
        <f t="shared" si="12"/>
        <v>12.19047619047619</v>
      </c>
      <c r="H169">
        <v>7</v>
      </c>
      <c r="I169">
        <f t="shared" si="13"/>
        <v>5.1246370370890437</v>
      </c>
      <c r="J169">
        <f t="shared" si="14"/>
        <v>26.146498663114933</v>
      </c>
      <c r="K169">
        <f t="shared" si="15"/>
        <v>72.756292667115275</v>
      </c>
      <c r="L169" s="6" t="str">
        <f t="shared" si="16"/>
        <v>Jun</v>
      </c>
    </row>
    <row r="170" spans="1:12" x14ac:dyDescent="0.25">
      <c r="A170" s="1">
        <v>45095</v>
      </c>
      <c r="B170" t="s">
        <v>6</v>
      </c>
      <c r="C170">
        <v>1529.7127799351199</v>
      </c>
      <c r="D170">
        <v>19</v>
      </c>
      <c r="E170">
        <v>439.172329895975</v>
      </c>
      <c r="F170" t="s">
        <v>9</v>
      </c>
      <c r="G170">
        <f t="shared" si="12"/>
        <v>12.285714285714286</v>
      </c>
      <c r="H170">
        <v>7</v>
      </c>
      <c r="I170">
        <f t="shared" si="13"/>
        <v>5.0807760936972723</v>
      </c>
      <c r="J170">
        <f t="shared" si="14"/>
        <v>26.034366380602588</v>
      </c>
      <c r="K170">
        <f t="shared" si="15"/>
        <v>72.245234661373019</v>
      </c>
      <c r="L170" s="6" t="str">
        <f t="shared" si="16"/>
        <v>Jun</v>
      </c>
    </row>
    <row r="171" spans="1:12" x14ac:dyDescent="0.25">
      <c r="A171" s="1">
        <v>45096</v>
      </c>
      <c r="B171" t="s">
        <v>6</v>
      </c>
      <c r="C171">
        <v>539.04291551686401</v>
      </c>
      <c r="D171">
        <v>10</v>
      </c>
      <c r="E171">
        <v>152.91431714237501</v>
      </c>
      <c r="F171" t="s">
        <v>9</v>
      </c>
      <c r="G171">
        <f t="shared" si="12"/>
        <v>12.285714285714286</v>
      </c>
      <c r="H171">
        <v>7</v>
      </c>
      <c r="I171">
        <f t="shared" si="13"/>
        <v>5.0807760936972723</v>
      </c>
      <c r="J171">
        <f t="shared" si="14"/>
        <v>26.034366380602588</v>
      </c>
      <c r="K171">
        <f t="shared" si="15"/>
        <v>72.245234661373019</v>
      </c>
      <c r="L171" s="6" t="str">
        <f t="shared" si="16"/>
        <v>Jun</v>
      </c>
    </row>
    <row r="172" spans="1:12" x14ac:dyDescent="0.25">
      <c r="A172" s="1">
        <v>45097</v>
      </c>
      <c r="B172" t="s">
        <v>6</v>
      </c>
      <c r="C172">
        <v>1427.3386039397899</v>
      </c>
      <c r="D172">
        <v>6</v>
      </c>
      <c r="E172">
        <v>561.08978311048304</v>
      </c>
      <c r="F172" t="s">
        <v>7</v>
      </c>
      <c r="G172">
        <f t="shared" si="12"/>
        <v>12.476190476190476</v>
      </c>
      <c r="H172">
        <v>7</v>
      </c>
      <c r="I172">
        <f t="shared" si="13"/>
        <v>5.0657580638937718</v>
      </c>
      <c r="J172">
        <f t="shared" si="14"/>
        <v>25.995861018988943</v>
      </c>
      <c r="K172">
        <f t="shared" si="15"/>
        <v>72.070136742975151</v>
      </c>
      <c r="L172" s="6" t="str">
        <f t="shared" si="16"/>
        <v>Jun</v>
      </c>
    </row>
    <row r="173" spans="1:12" x14ac:dyDescent="0.25">
      <c r="A173" s="1">
        <v>45098</v>
      </c>
      <c r="B173" t="s">
        <v>6</v>
      </c>
      <c r="C173">
        <v>1414.4362236071399</v>
      </c>
      <c r="D173">
        <v>13</v>
      </c>
      <c r="E173">
        <v>180.22385099980301</v>
      </c>
      <c r="F173" t="s">
        <v>7</v>
      </c>
      <c r="G173">
        <f t="shared" si="12"/>
        <v>12.761904761904763</v>
      </c>
      <c r="H173">
        <v>7</v>
      </c>
      <c r="I173">
        <f t="shared" si="13"/>
        <v>4.8466974519229273</v>
      </c>
      <c r="J173">
        <f t="shared" si="14"/>
        <v>25.427574733547601</v>
      </c>
      <c r="K173">
        <f t="shared" si="15"/>
        <v>69.509442034370409</v>
      </c>
      <c r="L173" s="6" t="str">
        <f t="shared" si="16"/>
        <v>Jun</v>
      </c>
    </row>
    <row r="174" spans="1:12" x14ac:dyDescent="0.25">
      <c r="A174" s="1">
        <v>45099</v>
      </c>
      <c r="B174" t="s">
        <v>6</v>
      </c>
      <c r="C174">
        <v>1046.3010061193199</v>
      </c>
      <c r="D174">
        <v>19</v>
      </c>
      <c r="E174">
        <v>346.55870627556197</v>
      </c>
      <c r="F174" t="s">
        <v>7</v>
      </c>
      <c r="G174">
        <f t="shared" si="12"/>
        <v>12.666666666666666</v>
      </c>
      <c r="H174">
        <v>7</v>
      </c>
      <c r="I174">
        <f t="shared" si="13"/>
        <v>4.861412689057917</v>
      </c>
      <c r="J174">
        <f t="shared" si="14"/>
        <v>25.466146277991271</v>
      </c>
      <c r="K174">
        <f t="shared" si="15"/>
        <v>69.681852164184704</v>
      </c>
      <c r="L174" s="6" t="str">
        <f t="shared" si="16"/>
        <v>Jun</v>
      </c>
    </row>
    <row r="175" spans="1:12" x14ac:dyDescent="0.25">
      <c r="A175" s="1">
        <v>45100</v>
      </c>
      <c r="B175" t="s">
        <v>6</v>
      </c>
      <c r="C175">
        <v>928.87690273432599</v>
      </c>
      <c r="D175">
        <v>18</v>
      </c>
      <c r="E175">
        <v>273.82984319219997</v>
      </c>
      <c r="F175" t="s">
        <v>7</v>
      </c>
      <c r="G175">
        <f t="shared" si="12"/>
        <v>12</v>
      </c>
      <c r="H175">
        <v>7</v>
      </c>
      <c r="I175">
        <f t="shared" si="13"/>
        <v>4.9091750834534311</v>
      </c>
      <c r="J175">
        <f t="shared" si="14"/>
        <v>25.590940370967147</v>
      </c>
      <c r="K175">
        <f t="shared" si="15"/>
        <v>70.241056606186447</v>
      </c>
      <c r="L175" s="6" t="str">
        <f t="shared" si="16"/>
        <v>Jun</v>
      </c>
    </row>
    <row r="176" spans="1:12" x14ac:dyDescent="0.25">
      <c r="A176" s="1">
        <v>45101</v>
      </c>
      <c r="B176" t="s">
        <v>6</v>
      </c>
      <c r="C176">
        <v>1221.1873949641099</v>
      </c>
      <c r="D176">
        <v>16</v>
      </c>
      <c r="E176">
        <v>311.31402549979799</v>
      </c>
      <c r="F176" t="s">
        <v>7</v>
      </c>
      <c r="G176">
        <f t="shared" si="12"/>
        <v>11.428571428571429</v>
      </c>
      <c r="H176">
        <v>7</v>
      </c>
      <c r="I176">
        <f t="shared" si="13"/>
        <v>4.8741299589919498</v>
      </c>
      <c r="J176">
        <f t="shared" si="14"/>
        <v>25.499433755564525</v>
      </c>
      <c r="K176">
        <f t="shared" si="15"/>
        <v>69.830806239729398</v>
      </c>
      <c r="L176" s="6" t="str">
        <f t="shared" si="16"/>
        <v>Jun</v>
      </c>
    </row>
    <row r="177" spans="1:12" x14ac:dyDescent="0.25">
      <c r="A177" s="1">
        <v>45102</v>
      </c>
      <c r="B177" t="s">
        <v>6</v>
      </c>
      <c r="C177">
        <v>404.30135308020499</v>
      </c>
      <c r="D177">
        <v>5</v>
      </c>
      <c r="E177">
        <v>80.060870863503894</v>
      </c>
      <c r="F177" t="s">
        <v>10</v>
      </c>
      <c r="G177">
        <f t="shared" si="12"/>
        <v>10.857142857142858</v>
      </c>
      <c r="H177">
        <v>7</v>
      </c>
      <c r="I177">
        <f t="shared" si="13"/>
        <v>5.0128406546160456</v>
      </c>
      <c r="J177">
        <f t="shared" si="14"/>
        <v>25.859726901640258</v>
      </c>
      <c r="K177">
        <f t="shared" si="15"/>
        <v>71.452706188862379</v>
      </c>
      <c r="L177" s="6" t="str">
        <f t="shared" si="16"/>
        <v>Jun</v>
      </c>
    </row>
    <row r="178" spans="1:12" x14ac:dyDescent="0.25">
      <c r="A178" s="1">
        <v>45103</v>
      </c>
      <c r="B178" t="s">
        <v>6</v>
      </c>
      <c r="C178">
        <v>936.15752155551797</v>
      </c>
      <c r="D178">
        <v>9</v>
      </c>
      <c r="E178">
        <v>138.65393649644199</v>
      </c>
      <c r="F178" t="s">
        <v>7</v>
      </c>
      <c r="G178">
        <f t="shared" si="12"/>
        <v>11.095238095238095</v>
      </c>
      <c r="H178">
        <v>7</v>
      </c>
      <c r="I178">
        <f t="shared" si="13"/>
        <v>4.8363701461402018</v>
      </c>
      <c r="J178">
        <f t="shared" si="14"/>
        <v>25.400469846451031</v>
      </c>
      <c r="K178">
        <f t="shared" si="15"/>
        <v>69.388407842297624</v>
      </c>
      <c r="L178" s="6" t="str">
        <f t="shared" si="16"/>
        <v>Jun</v>
      </c>
    </row>
    <row r="179" spans="1:12" x14ac:dyDescent="0.25">
      <c r="A179" s="1">
        <v>45104</v>
      </c>
      <c r="B179" t="s">
        <v>6</v>
      </c>
      <c r="C179">
        <v>1016.48023329995</v>
      </c>
      <c r="D179">
        <v>11</v>
      </c>
      <c r="E179">
        <v>324.993288183066</v>
      </c>
      <c r="F179" t="s">
        <v>9</v>
      </c>
      <c r="G179">
        <f t="shared" si="12"/>
        <v>11.238095238095237</v>
      </c>
      <c r="H179">
        <v>7</v>
      </c>
      <c r="I179">
        <f t="shared" si="13"/>
        <v>4.8156490933700926</v>
      </c>
      <c r="J179">
        <f t="shared" si="14"/>
        <v>25.345998267543216</v>
      </c>
      <c r="K179">
        <f t="shared" si="15"/>
        <v>69.145473354861679</v>
      </c>
      <c r="L179" s="6" t="str">
        <f t="shared" si="16"/>
        <v>Jun</v>
      </c>
    </row>
    <row r="180" spans="1:12" x14ac:dyDescent="0.25">
      <c r="A180" s="1">
        <v>45105</v>
      </c>
      <c r="B180" t="s">
        <v>6</v>
      </c>
      <c r="C180">
        <v>524.20500632861194</v>
      </c>
      <c r="D180">
        <v>19</v>
      </c>
      <c r="E180">
        <v>159.19767820486001</v>
      </c>
      <c r="F180" t="s">
        <v>11</v>
      </c>
      <c r="G180">
        <f t="shared" si="12"/>
        <v>10.904761904761905</v>
      </c>
      <c r="H180">
        <v>7</v>
      </c>
      <c r="I180">
        <f t="shared" si="13"/>
        <v>5.0685773339741198</v>
      </c>
      <c r="J180">
        <f t="shared" si="14"/>
        <v>26.00309381199634</v>
      </c>
      <c r="K180">
        <f t="shared" si="15"/>
        <v>72.103011468618092</v>
      </c>
      <c r="L180" s="6" t="str">
        <f t="shared" si="16"/>
        <v>Jun</v>
      </c>
    </row>
    <row r="181" spans="1:12" x14ac:dyDescent="0.25">
      <c r="A181" s="1">
        <v>45106</v>
      </c>
      <c r="B181" t="s">
        <v>6</v>
      </c>
      <c r="C181">
        <v>997.74539071876598</v>
      </c>
      <c r="D181">
        <v>17</v>
      </c>
      <c r="E181">
        <v>161.510667843683</v>
      </c>
      <c r="F181" t="s">
        <v>7</v>
      </c>
      <c r="G181">
        <f t="shared" si="12"/>
        <v>10.476190476190476</v>
      </c>
      <c r="H181">
        <v>7</v>
      </c>
      <c r="I181">
        <f t="shared" si="13"/>
        <v>4.7182522995177747</v>
      </c>
      <c r="J181">
        <f t="shared" si="14"/>
        <v>25.088376838417027</v>
      </c>
      <c r="K181">
        <f t="shared" si="15"/>
        <v>68.002004895935841</v>
      </c>
      <c r="L181" s="6" t="str">
        <f t="shared" si="16"/>
        <v>Jun</v>
      </c>
    </row>
    <row r="182" spans="1:12" x14ac:dyDescent="0.25">
      <c r="A182" s="1">
        <v>45107</v>
      </c>
      <c r="B182" t="s">
        <v>6</v>
      </c>
      <c r="C182">
        <v>1315.3285362097899</v>
      </c>
      <c r="D182">
        <v>16</v>
      </c>
      <c r="E182">
        <v>211.80859393671</v>
      </c>
      <c r="F182" t="s">
        <v>11</v>
      </c>
      <c r="G182">
        <f t="shared" si="12"/>
        <v>9.8571428571428577</v>
      </c>
      <c r="H182">
        <v>7</v>
      </c>
      <c r="I182">
        <f t="shared" si="13"/>
        <v>4.6721056739516751</v>
      </c>
      <c r="J182">
        <f t="shared" si="14"/>
        <v>24.965387582998549</v>
      </c>
      <c r="K182">
        <f t="shared" si="15"/>
        <v>67.459301093701882</v>
      </c>
      <c r="L182" s="6" t="str">
        <f t="shared" si="16"/>
        <v>Jun</v>
      </c>
    </row>
    <row r="183" spans="1:12" x14ac:dyDescent="0.25">
      <c r="A183" s="1">
        <v>45108</v>
      </c>
      <c r="B183" t="s">
        <v>6</v>
      </c>
      <c r="C183">
        <v>862.80950350000001</v>
      </c>
      <c r="D183">
        <v>8</v>
      </c>
      <c r="E183">
        <v>313.37684299945602</v>
      </c>
      <c r="F183" t="s">
        <v>11</v>
      </c>
      <c r="G183">
        <f t="shared" si="12"/>
        <v>9.4285714285714288</v>
      </c>
      <c r="H183">
        <v>7</v>
      </c>
      <c r="I183">
        <f t="shared" si="13"/>
        <v>4.4896706847098322</v>
      </c>
      <c r="J183">
        <f t="shared" si="14"/>
        <v>24.473113686594996</v>
      </c>
      <c r="K183">
        <f t="shared" si="15"/>
        <v>65.307737533241564</v>
      </c>
      <c r="L183" s="6" t="str">
        <f t="shared" si="16"/>
        <v>Jul</v>
      </c>
    </row>
    <row r="184" spans="1:12" x14ac:dyDescent="0.25">
      <c r="A184" s="1">
        <v>45109</v>
      </c>
      <c r="B184" t="s">
        <v>6</v>
      </c>
      <c r="C184">
        <v>1463.8270504704101</v>
      </c>
      <c r="D184">
        <v>4</v>
      </c>
      <c r="E184">
        <v>350.25217596642699</v>
      </c>
      <c r="F184" t="s">
        <v>11</v>
      </c>
      <c r="G184">
        <f t="shared" si="12"/>
        <v>9.1904761904761898</v>
      </c>
      <c r="H184">
        <v>7</v>
      </c>
      <c r="I184">
        <f t="shared" si="13"/>
        <v>4.6970101939323872</v>
      </c>
      <c r="J184">
        <f t="shared" si="14"/>
        <v>25.031837775042909</v>
      </c>
      <c r="K184">
        <f t="shared" si="15"/>
        <v>67.752263824618439</v>
      </c>
      <c r="L184" s="6" t="str">
        <f t="shared" si="16"/>
        <v>Jul</v>
      </c>
    </row>
    <row r="185" spans="1:12" x14ac:dyDescent="0.25">
      <c r="A185" s="1">
        <v>45110</v>
      </c>
      <c r="B185" t="s">
        <v>6</v>
      </c>
      <c r="C185">
        <v>826.28423561582304</v>
      </c>
      <c r="D185">
        <v>16</v>
      </c>
      <c r="E185">
        <v>268.97543025806903</v>
      </c>
      <c r="F185" t="s">
        <v>9</v>
      </c>
      <c r="G185">
        <f t="shared" si="12"/>
        <v>9.3809523809523814</v>
      </c>
      <c r="H185">
        <v>7</v>
      </c>
      <c r="I185">
        <f t="shared" si="13"/>
        <v>4.5549554385986086</v>
      </c>
      <c r="J185">
        <f t="shared" si="14"/>
        <v>24.650404517931356</v>
      </c>
      <c r="K185">
        <f t="shared" si="15"/>
        <v>66.07880874518537</v>
      </c>
      <c r="L185" s="6" t="str">
        <f t="shared" si="16"/>
        <v>Jul</v>
      </c>
    </row>
    <row r="186" spans="1:12" x14ac:dyDescent="0.25">
      <c r="A186" s="1">
        <v>45111</v>
      </c>
      <c r="B186" t="s">
        <v>6</v>
      </c>
      <c r="C186">
        <v>1440.70701926223</v>
      </c>
      <c r="D186">
        <v>10</v>
      </c>
      <c r="E186">
        <v>394.23798813274601</v>
      </c>
      <c r="F186" t="s">
        <v>10</v>
      </c>
      <c r="G186">
        <f t="shared" si="12"/>
        <v>8.9047619047619051</v>
      </c>
      <c r="H186">
        <v>7</v>
      </c>
      <c r="I186">
        <f t="shared" si="13"/>
        <v>4.3463175436771984</v>
      </c>
      <c r="J186">
        <f t="shared" si="14"/>
        <v>24.079236410658815</v>
      </c>
      <c r="K186">
        <f t="shared" si="15"/>
        <v>63.610029307913329</v>
      </c>
      <c r="L186" s="6" t="str">
        <f t="shared" si="16"/>
        <v>Jul</v>
      </c>
    </row>
    <row r="187" spans="1:12" x14ac:dyDescent="0.25">
      <c r="A187" s="1">
        <v>45112</v>
      </c>
      <c r="B187" t="s">
        <v>6</v>
      </c>
      <c r="C187">
        <v>952.97737726531705</v>
      </c>
      <c r="D187">
        <v>17</v>
      </c>
      <c r="E187">
        <v>262.45037666761601</v>
      </c>
      <c r="F187" t="s">
        <v>10</v>
      </c>
      <c r="G187">
        <f t="shared" si="12"/>
        <v>8.4761904761904763</v>
      </c>
      <c r="H187">
        <v>7</v>
      </c>
      <c r="I187">
        <f t="shared" si="13"/>
        <v>4.6649656763908522</v>
      </c>
      <c r="J187">
        <f t="shared" si="14"/>
        <v>24.946304007702835</v>
      </c>
      <c r="K187">
        <f t="shared" si="15"/>
        <v>67.375277540591071</v>
      </c>
      <c r="L187" s="6" t="str">
        <f t="shared" si="16"/>
        <v>Jul</v>
      </c>
    </row>
    <row r="188" spans="1:12" x14ac:dyDescent="0.25">
      <c r="A188" s="1">
        <v>45113</v>
      </c>
      <c r="B188" t="s">
        <v>6</v>
      </c>
      <c r="C188">
        <v>1184.2076941775399</v>
      </c>
      <c r="D188">
        <v>6</v>
      </c>
      <c r="E188">
        <v>397.90859045952698</v>
      </c>
      <c r="F188" t="s">
        <v>10</v>
      </c>
      <c r="G188">
        <f t="shared" si="12"/>
        <v>8.0476190476190474</v>
      </c>
      <c r="H188">
        <v>7</v>
      </c>
      <c r="I188">
        <f t="shared" si="13"/>
        <v>4.2364630350823376</v>
      </c>
      <c r="J188">
        <f t="shared" si="14"/>
        <v>23.772983826974087</v>
      </c>
      <c r="K188">
        <f t="shared" si="15"/>
        <v>62.304623812722966</v>
      </c>
      <c r="L188" s="6" t="str">
        <f t="shared" si="16"/>
        <v>Jul</v>
      </c>
    </row>
    <row r="189" spans="1:12" x14ac:dyDescent="0.25">
      <c r="A189" s="1">
        <v>45114</v>
      </c>
      <c r="B189" t="s">
        <v>6</v>
      </c>
      <c r="C189">
        <v>920.96553517532504</v>
      </c>
      <c r="D189">
        <v>8</v>
      </c>
      <c r="E189">
        <v>295.508981560363</v>
      </c>
      <c r="F189" t="s">
        <v>9</v>
      </c>
      <c r="G189">
        <f t="shared" si="12"/>
        <v>7.8571428571428568</v>
      </c>
      <c r="H189">
        <v>7</v>
      </c>
      <c r="I189">
        <f t="shared" si="13"/>
        <v>4.4191143262617034</v>
      </c>
      <c r="J189">
        <f t="shared" si="14"/>
        <v>24.28005146018284</v>
      </c>
      <c r="K189">
        <f t="shared" si="15"/>
        <v>64.472948427610703</v>
      </c>
      <c r="L189" s="6" t="str">
        <f t="shared" si="16"/>
        <v>Jul</v>
      </c>
    </row>
    <row r="190" spans="1:12" x14ac:dyDescent="0.25">
      <c r="A190" s="1">
        <v>45115</v>
      </c>
      <c r="B190" t="s">
        <v>6</v>
      </c>
      <c r="C190">
        <v>1364.43911706831</v>
      </c>
      <c r="D190">
        <v>11</v>
      </c>
      <c r="E190">
        <v>142.05116311434799</v>
      </c>
      <c r="F190" t="s">
        <v>11</v>
      </c>
      <c r="G190">
        <f t="shared" si="12"/>
        <v>7.6190476190476186</v>
      </c>
      <c r="H190">
        <v>7</v>
      </c>
      <c r="I190">
        <f t="shared" si="13"/>
        <v>4.54396512394396</v>
      </c>
      <c r="J190">
        <f t="shared" si="14"/>
        <v>24.62064798998869</v>
      </c>
      <c r="K190">
        <f t="shared" si="15"/>
        <v>65.949092688717087</v>
      </c>
      <c r="L190" s="6" t="str">
        <f t="shared" si="16"/>
        <v>Jul</v>
      </c>
    </row>
    <row r="191" spans="1:12" x14ac:dyDescent="0.25">
      <c r="A191" s="1">
        <v>45116</v>
      </c>
      <c r="B191" t="s">
        <v>6</v>
      </c>
      <c r="C191">
        <v>1313.5265422254199</v>
      </c>
      <c r="D191">
        <v>19</v>
      </c>
      <c r="E191">
        <v>305.64205009912899</v>
      </c>
      <c r="F191" t="s">
        <v>10</v>
      </c>
      <c r="G191">
        <f t="shared" si="12"/>
        <v>8</v>
      </c>
      <c r="H191">
        <v>7</v>
      </c>
      <c r="I191">
        <f t="shared" si="13"/>
        <v>5.1380930314660516</v>
      </c>
      <c r="J191">
        <f t="shared" si="14"/>
        <v>26.180803189171826</v>
      </c>
      <c r="K191">
        <f t="shared" si="15"/>
        <v>72.912982665839252</v>
      </c>
      <c r="L191" s="6" t="str">
        <f t="shared" si="16"/>
        <v>Jul</v>
      </c>
    </row>
    <row r="192" spans="1:12" x14ac:dyDescent="0.25">
      <c r="A192" s="1">
        <v>45117</v>
      </c>
      <c r="B192" t="s">
        <v>6</v>
      </c>
      <c r="C192">
        <v>1210.5547856476201</v>
      </c>
      <c r="D192">
        <v>14</v>
      </c>
      <c r="E192">
        <v>140.42968048265001</v>
      </c>
      <c r="F192" t="s">
        <v>9</v>
      </c>
      <c r="G192">
        <f t="shared" si="12"/>
        <v>7.5714285714285712</v>
      </c>
      <c r="H192">
        <v>7</v>
      </c>
      <c r="I192">
        <f t="shared" si="13"/>
        <v>4.5118890563867877</v>
      </c>
      <c r="J192">
        <f t="shared" si="14"/>
        <v>24.533594922975276</v>
      </c>
      <c r="K192">
        <f t="shared" si="15"/>
        <v>65.570300150112246</v>
      </c>
      <c r="L192" s="6" t="str">
        <f t="shared" si="16"/>
        <v>Jul</v>
      </c>
    </row>
    <row r="193" spans="1:12" x14ac:dyDescent="0.25">
      <c r="A193" s="1">
        <v>45118</v>
      </c>
      <c r="B193" t="s">
        <v>6</v>
      </c>
      <c r="C193">
        <v>693.40776689999996</v>
      </c>
      <c r="D193">
        <v>12</v>
      </c>
      <c r="E193">
        <v>78.148916178761894</v>
      </c>
      <c r="F193" t="s">
        <v>10</v>
      </c>
      <c r="G193">
        <f t="shared" si="12"/>
        <v>7.6190476190476186</v>
      </c>
      <c r="H193">
        <v>7</v>
      </c>
      <c r="I193">
        <f t="shared" si="13"/>
        <v>4.5877684169560089</v>
      </c>
      <c r="J193">
        <f t="shared" si="14"/>
        <v>24.739033454097875</v>
      </c>
      <c r="K193">
        <f t="shared" si="15"/>
        <v>66.465879532126337</v>
      </c>
      <c r="L193" s="6" t="str">
        <f t="shared" si="16"/>
        <v>Jul</v>
      </c>
    </row>
    <row r="194" spans="1:12" x14ac:dyDescent="0.25">
      <c r="A194" s="1">
        <v>45119</v>
      </c>
      <c r="B194" t="s">
        <v>6</v>
      </c>
      <c r="C194">
        <v>1133.38581172042</v>
      </c>
      <c r="D194">
        <v>11</v>
      </c>
      <c r="E194">
        <v>314.91357593374198</v>
      </c>
      <c r="F194" t="s">
        <v>11</v>
      </c>
      <c r="G194">
        <f t="shared" ref="G194:G257" si="17">AVERAGE(D194:D214)</f>
        <v>7.7619047619047619</v>
      </c>
      <c r="H194">
        <v>7</v>
      </c>
      <c r="I194">
        <f t="shared" ref="I194:I257" si="18">STDEV(D194:D214)</f>
        <v>4.7739371791505798</v>
      </c>
      <c r="J194">
        <f t="shared" ref="J194:J257" si="19">1.65 * $H$2 * SQRT(I194)</f>
        <v>25.235989272101758</v>
      </c>
      <c r="K194">
        <f t="shared" ref="K194:K257" si="20">($G$2 * I194) + J194</f>
        <v>68.656084568185605</v>
      </c>
      <c r="L194" s="6" t="str">
        <f t="shared" ref="L194:L257" si="21">TEXT(A194,"mmm")</f>
        <v>Jul</v>
      </c>
    </row>
    <row r="195" spans="1:12" x14ac:dyDescent="0.25">
      <c r="A195" s="1">
        <v>45120</v>
      </c>
      <c r="B195" t="s">
        <v>6</v>
      </c>
      <c r="C195">
        <v>1063.5636035955399</v>
      </c>
      <c r="D195">
        <v>5</v>
      </c>
      <c r="E195">
        <v>392.67806254882697</v>
      </c>
      <c r="F195" t="s">
        <v>9</v>
      </c>
      <c r="G195">
        <f t="shared" si="17"/>
        <v>7.4285714285714288</v>
      </c>
      <c r="H195">
        <v>7</v>
      </c>
      <c r="I195">
        <f t="shared" si="18"/>
        <v>4.7809144373375743</v>
      </c>
      <c r="J195">
        <f t="shared" si="19"/>
        <v>25.254424131762057</v>
      </c>
      <c r="K195">
        <f t="shared" si="20"/>
        <v>68.737979252308563</v>
      </c>
      <c r="L195" s="6" t="str">
        <f t="shared" si="21"/>
        <v>Jul</v>
      </c>
    </row>
    <row r="196" spans="1:12" x14ac:dyDescent="0.25">
      <c r="A196" s="1">
        <v>45121</v>
      </c>
      <c r="B196" t="s">
        <v>6</v>
      </c>
      <c r="C196">
        <v>946.96775106526502</v>
      </c>
      <c r="D196">
        <v>6</v>
      </c>
      <c r="E196">
        <v>362.418797129822</v>
      </c>
      <c r="F196" t="s">
        <v>11</v>
      </c>
      <c r="G196">
        <f t="shared" si="17"/>
        <v>7.2857142857142856</v>
      </c>
      <c r="H196">
        <v>7</v>
      </c>
      <c r="I196">
        <f t="shared" si="18"/>
        <v>4.9004372982710134</v>
      </c>
      <c r="J196">
        <f t="shared" si="19"/>
        <v>25.568155715315068</v>
      </c>
      <c r="K196">
        <f t="shared" si="20"/>
        <v>70.13879971387523</v>
      </c>
      <c r="L196" s="6" t="str">
        <f t="shared" si="21"/>
        <v>Jul</v>
      </c>
    </row>
    <row r="197" spans="1:12" x14ac:dyDescent="0.25">
      <c r="A197" s="1">
        <v>45122</v>
      </c>
      <c r="B197" t="s">
        <v>6</v>
      </c>
      <c r="C197">
        <v>699.06639518800603</v>
      </c>
      <c r="D197">
        <v>4</v>
      </c>
      <c r="E197">
        <v>100.719093366938</v>
      </c>
      <c r="F197" t="s">
        <v>11</v>
      </c>
      <c r="G197">
        <f t="shared" si="17"/>
        <v>7.2857142857142856</v>
      </c>
      <c r="H197">
        <v>7</v>
      </c>
      <c r="I197">
        <f t="shared" si="18"/>
        <v>4.9004372982710134</v>
      </c>
      <c r="J197">
        <f t="shared" si="19"/>
        <v>25.568155715315068</v>
      </c>
      <c r="K197">
        <f t="shared" si="20"/>
        <v>70.13879971387523</v>
      </c>
      <c r="L197" s="6" t="str">
        <f t="shared" si="21"/>
        <v>Jul</v>
      </c>
    </row>
    <row r="198" spans="1:12" x14ac:dyDescent="0.25">
      <c r="A198" s="1">
        <v>45123</v>
      </c>
      <c r="B198" t="s">
        <v>6</v>
      </c>
      <c r="C198">
        <v>1274.61708266804</v>
      </c>
      <c r="D198">
        <v>10</v>
      </c>
      <c r="E198">
        <v>235.26335667154299</v>
      </c>
      <c r="F198" t="s">
        <v>10</v>
      </c>
      <c r="G198">
        <f t="shared" si="17"/>
        <v>7.333333333333333</v>
      </c>
      <c r="H198">
        <v>7</v>
      </c>
      <c r="I198">
        <f t="shared" si="18"/>
        <v>4.8716869083853629</v>
      </c>
      <c r="J198">
        <f t="shared" si="19"/>
        <v>25.493042438984766</v>
      </c>
      <c r="K198">
        <f t="shared" si="20"/>
        <v>69.80219479620402</v>
      </c>
      <c r="L198" s="6" t="str">
        <f t="shared" si="21"/>
        <v>Jul</v>
      </c>
    </row>
    <row r="199" spans="1:12" x14ac:dyDescent="0.25">
      <c r="A199" s="1">
        <v>45124</v>
      </c>
      <c r="B199" t="s">
        <v>6</v>
      </c>
      <c r="C199">
        <v>1253.5473913552901</v>
      </c>
      <c r="D199">
        <v>12</v>
      </c>
      <c r="E199">
        <v>307.06177236342398</v>
      </c>
      <c r="F199" t="s">
        <v>9</v>
      </c>
      <c r="G199">
        <f t="shared" si="17"/>
        <v>7.333333333333333</v>
      </c>
      <c r="H199">
        <v>7</v>
      </c>
      <c r="I199">
        <f t="shared" si="18"/>
        <v>4.8716869083853629</v>
      </c>
      <c r="J199">
        <f t="shared" si="19"/>
        <v>25.493042438984766</v>
      </c>
      <c r="K199">
        <f t="shared" si="20"/>
        <v>69.80219479620402</v>
      </c>
      <c r="L199" s="6" t="str">
        <f t="shared" si="21"/>
        <v>Jul</v>
      </c>
    </row>
    <row r="200" spans="1:12" x14ac:dyDescent="0.25">
      <c r="A200" s="1">
        <v>45125</v>
      </c>
      <c r="B200" t="s">
        <v>6</v>
      </c>
      <c r="C200">
        <v>1329.2874894583399</v>
      </c>
      <c r="D200">
        <v>4</v>
      </c>
      <c r="E200">
        <v>519.84526049413705</v>
      </c>
      <c r="F200" t="s">
        <v>11</v>
      </c>
      <c r="G200">
        <f t="shared" si="17"/>
        <v>7.3809523809523814</v>
      </c>
      <c r="H200">
        <v>7</v>
      </c>
      <c r="I200">
        <f t="shared" si="18"/>
        <v>4.9241871458768749</v>
      </c>
      <c r="J200">
        <f t="shared" si="19"/>
        <v>25.630038543237497</v>
      </c>
      <c r="K200">
        <f t="shared" si="20"/>
        <v>70.416693060498602</v>
      </c>
      <c r="L200" s="6" t="str">
        <f t="shared" si="21"/>
        <v>Jul</v>
      </c>
    </row>
    <row r="201" spans="1:12" x14ac:dyDescent="0.25">
      <c r="A201" s="1">
        <v>45126</v>
      </c>
      <c r="B201" t="s">
        <v>6</v>
      </c>
      <c r="C201">
        <v>1610.5098104097699</v>
      </c>
      <c r="D201">
        <v>10</v>
      </c>
      <c r="E201">
        <v>338.55689288704502</v>
      </c>
      <c r="F201" t="s">
        <v>9</v>
      </c>
      <c r="G201">
        <f t="shared" si="17"/>
        <v>7.3809523809523814</v>
      </c>
      <c r="H201">
        <v>7</v>
      </c>
      <c r="I201">
        <f t="shared" si="18"/>
        <v>4.9241871458768749</v>
      </c>
      <c r="J201">
        <f t="shared" si="19"/>
        <v>25.630038543237497</v>
      </c>
      <c r="K201">
        <f t="shared" si="20"/>
        <v>70.416693060498602</v>
      </c>
      <c r="L201" s="6" t="str">
        <f t="shared" si="21"/>
        <v>Jul</v>
      </c>
    </row>
    <row r="202" spans="1:12" x14ac:dyDescent="0.25">
      <c r="A202" s="1">
        <v>45127</v>
      </c>
      <c r="B202" t="s">
        <v>6</v>
      </c>
      <c r="C202">
        <v>604.20342586607103</v>
      </c>
      <c r="D202">
        <v>4</v>
      </c>
      <c r="E202">
        <v>143.496548388126</v>
      </c>
      <c r="F202" t="s">
        <v>9</v>
      </c>
      <c r="G202">
        <f t="shared" si="17"/>
        <v>7.666666666666667</v>
      </c>
      <c r="H202">
        <v>7</v>
      </c>
      <c r="I202">
        <f t="shared" si="18"/>
        <v>5.2472214869713039</v>
      </c>
      <c r="J202">
        <f t="shared" si="19"/>
        <v>26.457370701104995</v>
      </c>
      <c r="K202">
        <f t="shared" si="20"/>
        <v>74.182099463558288</v>
      </c>
      <c r="L202" s="6" t="str">
        <f t="shared" si="21"/>
        <v>Jul</v>
      </c>
    </row>
    <row r="203" spans="1:12" x14ac:dyDescent="0.25">
      <c r="A203" s="1">
        <v>45128</v>
      </c>
      <c r="B203" t="s">
        <v>6</v>
      </c>
      <c r="C203">
        <v>1455.6659744357901</v>
      </c>
      <c r="D203">
        <v>7</v>
      </c>
      <c r="E203">
        <v>553.95605350000005</v>
      </c>
      <c r="F203" t="s">
        <v>10</v>
      </c>
      <c r="G203">
        <f t="shared" si="17"/>
        <v>8.2380952380952372</v>
      </c>
      <c r="H203">
        <v>7</v>
      </c>
      <c r="I203">
        <f t="shared" si="18"/>
        <v>5.4763561051557081</v>
      </c>
      <c r="J203">
        <f t="shared" si="19"/>
        <v>27.028865964335875</v>
      </c>
      <c r="K203">
        <f t="shared" si="20"/>
        <v>76.837628635037788</v>
      </c>
      <c r="L203" s="6" t="str">
        <f t="shared" si="21"/>
        <v>Jul</v>
      </c>
    </row>
    <row r="204" spans="1:12" x14ac:dyDescent="0.25">
      <c r="A204" s="1">
        <v>45129</v>
      </c>
      <c r="B204" t="s">
        <v>6</v>
      </c>
      <c r="C204">
        <v>913.76574417989298</v>
      </c>
      <c r="D204">
        <v>3</v>
      </c>
      <c r="E204">
        <v>297.99748655150501</v>
      </c>
      <c r="F204" t="s">
        <v>11</v>
      </c>
      <c r="G204">
        <f t="shared" si="17"/>
        <v>8.7619047619047628</v>
      </c>
      <c r="H204">
        <v>7</v>
      </c>
      <c r="I204">
        <f t="shared" si="18"/>
        <v>5.864339365220621</v>
      </c>
      <c r="J204">
        <f t="shared" si="19"/>
        <v>27.96993979558847</v>
      </c>
      <c r="K204">
        <f t="shared" si="20"/>
        <v>81.307502593547454</v>
      </c>
      <c r="L204" s="6" t="str">
        <f t="shared" si="21"/>
        <v>Jul</v>
      </c>
    </row>
    <row r="205" spans="1:12" x14ac:dyDescent="0.25">
      <c r="A205" s="1">
        <v>45130</v>
      </c>
      <c r="B205" t="s">
        <v>6</v>
      </c>
      <c r="C205">
        <v>1259.24626404126</v>
      </c>
      <c r="D205">
        <v>8</v>
      </c>
      <c r="E205">
        <v>476.93123057487497</v>
      </c>
      <c r="F205" t="s">
        <v>10</v>
      </c>
      <c r="G205">
        <f t="shared" si="17"/>
        <v>9.4285714285714288</v>
      </c>
      <c r="H205">
        <v>7</v>
      </c>
      <c r="I205">
        <f t="shared" si="18"/>
        <v>5.9713602183374315</v>
      </c>
      <c r="J205">
        <f t="shared" si="19"/>
        <v>28.224003640992521</v>
      </c>
      <c r="K205">
        <f t="shared" si="20"/>
        <v>82.534946579204387</v>
      </c>
      <c r="L205" s="6" t="str">
        <f t="shared" si="21"/>
        <v>Jul</v>
      </c>
    </row>
    <row r="206" spans="1:12" x14ac:dyDescent="0.25">
      <c r="A206" s="1">
        <v>45131</v>
      </c>
      <c r="B206" t="s">
        <v>6</v>
      </c>
      <c r="C206">
        <v>1473.4354172686501</v>
      </c>
      <c r="D206">
        <v>6</v>
      </c>
      <c r="E206">
        <v>278.03190359331501</v>
      </c>
      <c r="F206" t="s">
        <v>10</v>
      </c>
      <c r="G206">
        <f t="shared" si="17"/>
        <v>9.5714285714285712</v>
      </c>
      <c r="H206">
        <v>7</v>
      </c>
      <c r="I206">
        <f t="shared" si="18"/>
        <v>5.9713602183374315</v>
      </c>
      <c r="J206">
        <f t="shared" si="19"/>
        <v>28.224003640992521</v>
      </c>
      <c r="K206">
        <f t="shared" si="20"/>
        <v>82.534946579204387</v>
      </c>
      <c r="L206" s="6" t="str">
        <f t="shared" si="21"/>
        <v>Jul</v>
      </c>
    </row>
    <row r="207" spans="1:12" x14ac:dyDescent="0.25">
      <c r="A207" s="1">
        <v>45132</v>
      </c>
      <c r="B207" t="s">
        <v>6</v>
      </c>
      <c r="C207">
        <v>908.87206554406703</v>
      </c>
      <c r="D207">
        <v>1</v>
      </c>
      <c r="E207">
        <v>115.151286340506</v>
      </c>
      <c r="F207" t="s">
        <v>11</v>
      </c>
      <c r="G207">
        <f t="shared" si="17"/>
        <v>10.142857142857142</v>
      </c>
      <c r="H207">
        <v>7</v>
      </c>
      <c r="I207">
        <f t="shared" si="18"/>
        <v>6.1829257984041357</v>
      </c>
      <c r="J207">
        <f t="shared" si="19"/>
        <v>28.719640645760311</v>
      </c>
      <c r="K207">
        <f t="shared" si="20"/>
        <v>84.954822907436025</v>
      </c>
      <c r="L207" s="6" t="str">
        <f t="shared" si="21"/>
        <v>Jul</v>
      </c>
    </row>
    <row r="208" spans="1:12" x14ac:dyDescent="0.25">
      <c r="A208" s="1">
        <v>45133</v>
      </c>
      <c r="B208" t="s">
        <v>6</v>
      </c>
      <c r="C208">
        <v>1622.6912626497499</v>
      </c>
      <c r="D208">
        <v>8</v>
      </c>
      <c r="E208">
        <v>443.59078406446702</v>
      </c>
      <c r="F208" t="s">
        <v>9</v>
      </c>
      <c r="G208">
        <f t="shared" si="17"/>
        <v>10.19047619047619</v>
      </c>
      <c r="H208">
        <v>7</v>
      </c>
      <c r="I208">
        <f t="shared" si="18"/>
        <v>6.1124385282720652</v>
      </c>
      <c r="J208">
        <f t="shared" si="19"/>
        <v>28.555464989521951</v>
      </c>
      <c r="K208">
        <f t="shared" si="20"/>
        <v>84.149548746663115</v>
      </c>
      <c r="L208" s="6" t="str">
        <f t="shared" si="21"/>
        <v>Jul</v>
      </c>
    </row>
    <row r="209" spans="1:12" x14ac:dyDescent="0.25">
      <c r="A209" s="1">
        <v>45134</v>
      </c>
      <c r="B209" t="s">
        <v>6</v>
      </c>
      <c r="C209">
        <v>681.11000319250104</v>
      </c>
      <c r="D209">
        <v>2</v>
      </c>
      <c r="E209">
        <v>105.8375044</v>
      </c>
      <c r="F209" t="s">
        <v>10</v>
      </c>
      <c r="G209">
        <f t="shared" si="17"/>
        <v>10.476190476190476</v>
      </c>
      <c r="H209">
        <v>7</v>
      </c>
      <c r="I209">
        <f t="shared" si="18"/>
        <v>6.1450715831391882</v>
      </c>
      <c r="J209">
        <f t="shared" si="19"/>
        <v>28.631589405230816</v>
      </c>
      <c r="K209">
        <f t="shared" si="20"/>
        <v>84.522478566163429</v>
      </c>
      <c r="L209" s="6" t="str">
        <f t="shared" si="21"/>
        <v>Jul</v>
      </c>
    </row>
    <row r="210" spans="1:12" x14ac:dyDescent="0.25">
      <c r="A210" s="1">
        <v>45135</v>
      </c>
      <c r="B210" t="s">
        <v>6</v>
      </c>
      <c r="C210">
        <v>1163.04381360102</v>
      </c>
      <c r="D210">
        <v>3</v>
      </c>
      <c r="E210">
        <v>314.00040369724502</v>
      </c>
      <c r="F210" t="s">
        <v>9</v>
      </c>
      <c r="G210">
        <f t="shared" si="17"/>
        <v>10.619047619047619</v>
      </c>
      <c r="H210">
        <v>7</v>
      </c>
      <c r="I210">
        <f t="shared" si="18"/>
        <v>5.9705627077871846</v>
      </c>
      <c r="J210">
        <f t="shared" si="19"/>
        <v>28.222118836571781</v>
      </c>
      <c r="K210">
        <f t="shared" si="20"/>
        <v>82.52580822644569</v>
      </c>
      <c r="L210" s="6" t="str">
        <f t="shared" si="21"/>
        <v>Jul</v>
      </c>
    </row>
    <row r="211" spans="1:12" x14ac:dyDescent="0.25">
      <c r="A211" s="1">
        <v>45136</v>
      </c>
      <c r="B211" t="s">
        <v>6</v>
      </c>
      <c r="C211">
        <v>1132.8356575965499</v>
      </c>
      <c r="D211">
        <v>19</v>
      </c>
      <c r="E211">
        <v>337.14921459098798</v>
      </c>
      <c r="F211" t="s">
        <v>11</v>
      </c>
      <c r="G211">
        <f t="shared" si="17"/>
        <v>10.571428571428571</v>
      </c>
      <c r="H211">
        <v>7</v>
      </c>
      <c r="I211">
        <f t="shared" si="18"/>
        <v>6.0379750626466544</v>
      </c>
      <c r="J211">
        <f t="shared" si="19"/>
        <v>28.380996605029924</v>
      </c>
      <c r="K211">
        <f t="shared" si="20"/>
        <v>83.2978174129114</v>
      </c>
      <c r="L211" s="6" t="str">
        <f t="shared" si="21"/>
        <v>Jul</v>
      </c>
    </row>
    <row r="212" spans="1:12" x14ac:dyDescent="0.25">
      <c r="A212" s="1">
        <v>45137</v>
      </c>
      <c r="B212" t="s">
        <v>6</v>
      </c>
      <c r="C212">
        <v>1145.81088682529</v>
      </c>
      <c r="D212">
        <v>10</v>
      </c>
      <c r="E212">
        <v>397.67162081883799</v>
      </c>
      <c r="F212" t="s">
        <v>7</v>
      </c>
      <c r="G212">
        <f t="shared" si="17"/>
        <v>9.7619047619047628</v>
      </c>
      <c r="H212">
        <v>7</v>
      </c>
      <c r="I212">
        <f t="shared" si="18"/>
        <v>5.9908660634733097</v>
      </c>
      <c r="J212">
        <f t="shared" si="19"/>
        <v>28.270063849105437</v>
      </c>
      <c r="K212">
        <f t="shared" si="20"/>
        <v>82.758417093076972</v>
      </c>
      <c r="L212" s="6" t="str">
        <f t="shared" si="21"/>
        <v>Jul</v>
      </c>
    </row>
    <row r="213" spans="1:12" x14ac:dyDescent="0.25">
      <c r="A213" s="1">
        <v>45138</v>
      </c>
      <c r="B213" t="s">
        <v>6</v>
      </c>
      <c r="C213">
        <v>980.59974100288196</v>
      </c>
      <c r="D213">
        <v>15</v>
      </c>
      <c r="E213">
        <v>340.35350391557802</v>
      </c>
      <c r="F213" t="s">
        <v>9</v>
      </c>
      <c r="G213">
        <f t="shared" si="17"/>
        <v>9.9047619047619051</v>
      </c>
      <c r="H213">
        <v>7</v>
      </c>
      <c r="I213">
        <f t="shared" si="18"/>
        <v>6.032451921936568</v>
      </c>
      <c r="J213">
        <f t="shared" si="19"/>
        <v>28.368013104835928</v>
      </c>
      <c r="K213">
        <f t="shared" si="20"/>
        <v>83.234599632925665</v>
      </c>
      <c r="L213" s="6" t="str">
        <f t="shared" si="21"/>
        <v>Jul</v>
      </c>
    </row>
    <row r="214" spans="1:12" x14ac:dyDescent="0.25">
      <c r="A214" s="1">
        <v>45139</v>
      </c>
      <c r="B214" t="s">
        <v>6</v>
      </c>
      <c r="C214">
        <v>783.87554295884797</v>
      </c>
      <c r="D214">
        <v>15</v>
      </c>
      <c r="E214">
        <v>222.49425478711501</v>
      </c>
      <c r="F214" t="s">
        <v>9</v>
      </c>
      <c r="G214">
        <f t="shared" si="17"/>
        <v>9.8571428571428577</v>
      </c>
      <c r="H214">
        <v>7</v>
      </c>
      <c r="I214">
        <f t="shared" si="18"/>
        <v>5.994044663544928</v>
      </c>
      <c r="J214">
        <f t="shared" si="19"/>
        <v>28.277562540441</v>
      </c>
      <c r="K214">
        <f t="shared" si="20"/>
        <v>82.794825908873435</v>
      </c>
      <c r="L214" s="6" t="str">
        <f t="shared" si="21"/>
        <v>Aug</v>
      </c>
    </row>
    <row r="215" spans="1:12" x14ac:dyDescent="0.25">
      <c r="A215" s="1">
        <v>45140</v>
      </c>
      <c r="B215" t="s">
        <v>6</v>
      </c>
      <c r="C215">
        <v>957.61208103817103</v>
      </c>
      <c r="D215">
        <v>4</v>
      </c>
      <c r="E215">
        <v>214.458906313136</v>
      </c>
      <c r="F215" t="s">
        <v>10</v>
      </c>
      <c r="G215">
        <f t="shared" si="17"/>
        <v>9.3333333333333339</v>
      </c>
      <c r="H215">
        <v>7</v>
      </c>
      <c r="I215">
        <f t="shared" si="18"/>
        <v>6.0027771350711783</v>
      </c>
      <c r="J215">
        <f t="shared" si="19"/>
        <v>28.298153239413569</v>
      </c>
      <c r="K215">
        <f t="shared" si="20"/>
        <v>82.89484051553714</v>
      </c>
      <c r="L215" s="6" t="str">
        <f t="shared" si="21"/>
        <v>Aug</v>
      </c>
    </row>
    <row r="216" spans="1:12" x14ac:dyDescent="0.25">
      <c r="A216" s="1">
        <v>45141</v>
      </c>
      <c r="B216" t="s">
        <v>6</v>
      </c>
      <c r="C216">
        <v>736.92086476490294</v>
      </c>
      <c r="D216">
        <v>2</v>
      </c>
      <c r="E216">
        <v>269.60583783342503</v>
      </c>
      <c r="F216" t="s">
        <v>11</v>
      </c>
      <c r="G216">
        <f t="shared" si="17"/>
        <v>9.7619047619047628</v>
      </c>
      <c r="H216">
        <v>7</v>
      </c>
      <c r="I216">
        <f t="shared" si="18"/>
        <v>5.9237214815077355</v>
      </c>
      <c r="J216">
        <f t="shared" si="19"/>
        <v>28.111194477233365</v>
      </c>
      <c r="K216">
        <f t="shared" si="20"/>
        <v>81.988851761422765</v>
      </c>
      <c r="L216" s="6" t="str">
        <f t="shared" si="21"/>
        <v>Aug</v>
      </c>
    </row>
    <row r="217" spans="1:12" x14ac:dyDescent="0.25">
      <c r="A217" s="1">
        <v>45142</v>
      </c>
      <c r="B217" t="s">
        <v>6</v>
      </c>
      <c r="C217">
        <v>1165.9120257556999</v>
      </c>
      <c r="D217">
        <v>6</v>
      </c>
      <c r="E217">
        <v>446.48886311974201</v>
      </c>
      <c r="F217" t="s">
        <v>7</v>
      </c>
      <c r="G217">
        <f t="shared" si="17"/>
        <v>9.9523809523809526</v>
      </c>
      <c r="H217">
        <v>7</v>
      </c>
      <c r="I217">
        <f t="shared" si="18"/>
        <v>5.7225535425733707</v>
      </c>
      <c r="J217">
        <f t="shared" si="19"/>
        <v>27.629747537086619</v>
      </c>
      <c r="K217">
        <f t="shared" si="20"/>
        <v>79.677734519539655</v>
      </c>
      <c r="L217" s="6" t="str">
        <f t="shared" si="21"/>
        <v>Aug</v>
      </c>
    </row>
    <row r="218" spans="1:12" x14ac:dyDescent="0.25">
      <c r="A218" s="1">
        <v>45143</v>
      </c>
      <c r="B218" t="s">
        <v>6</v>
      </c>
      <c r="C218">
        <v>1452.2900676741001</v>
      </c>
      <c r="D218">
        <v>5</v>
      </c>
      <c r="E218">
        <v>518.69628569999998</v>
      </c>
      <c r="F218" t="s">
        <v>11</v>
      </c>
      <c r="G218">
        <f t="shared" si="17"/>
        <v>10.095238095238095</v>
      </c>
      <c r="H218">
        <v>7</v>
      </c>
      <c r="I218">
        <f t="shared" si="18"/>
        <v>5.6560123930624648</v>
      </c>
      <c r="J218">
        <f t="shared" si="19"/>
        <v>27.468640178674946</v>
      </c>
      <c r="K218">
        <f t="shared" si="20"/>
        <v>78.911419563195466</v>
      </c>
      <c r="L218" s="6" t="str">
        <f t="shared" si="21"/>
        <v>Aug</v>
      </c>
    </row>
    <row r="219" spans="1:12" x14ac:dyDescent="0.25">
      <c r="A219" s="1">
        <v>45144</v>
      </c>
      <c r="B219" t="s">
        <v>6</v>
      </c>
      <c r="C219">
        <v>1326.32195297012</v>
      </c>
      <c r="D219">
        <v>10</v>
      </c>
      <c r="E219">
        <v>380.42364829816898</v>
      </c>
      <c r="F219" t="s">
        <v>9</v>
      </c>
      <c r="G219">
        <f t="shared" si="17"/>
        <v>10.619047619047619</v>
      </c>
      <c r="H219">
        <v>7</v>
      </c>
      <c r="I219">
        <f t="shared" si="18"/>
        <v>5.669887040111032</v>
      </c>
      <c r="J219">
        <f t="shared" si="19"/>
        <v>27.502310918692121</v>
      </c>
      <c r="K219">
        <f t="shared" si="20"/>
        <v>79.071283521606745</v>
      </c>
      <c r="L219" s="6" t="str">
        <f t="shared" si="21"/>
        <v>Aug</v>
      </c>
    </row>
    <row r="220" spans="1:12" x14ac:dyDescent="0.25">
      <c r="A220" s="1">
        <v>45145</v>
      </c>
      <c r="B220" t="s">
        <v>6</v>
      </c>
      <c r="C220">
        <v>1190.87121261367</v>
      </c>
      <c r="D220">
        <v>13</v>
      </c>
      <c r="E220">
        <v>227.909774297105</v>
      </c>
      <c r="F220" t="s">
        <v>7</v>
      </c>
      <c r="G220">
        <f t="shared" si="17"/>
        <v>10.380952380952381</v>
      </c>
      <c r="H220">
        <v>7</v>
      </c>
      <c r="I220">
        <f t="shared" si="18"/>
        <v>5.800656777264023</v>
      </c>
      <c r="J220">
        <f t="shared" si="19"/>
        <v>27.81765834373849</v>
      </c>
      <c r="K220">
        <f t="shared" si="20"/>
        <v>80.576012841711261</v>
      </c>
      <c r="L220" s="6" t="str">
        <f t="shared" si="21"/>
        <v>Aug</v>
      </c>
    </row>
    <row r="221" spans="1:12" x14ac:dyDescent="0.25">
      <c r="A221" s="1">
        <v>45146</v>
      </c>
      <c r="B221" t="s">
        <v>6</v>
      </c>
      <c r="C221">
        <v>756.37452041692995</v>
      </c>
      <c r="D221">
        <v>4</v>
      </c>
      <c r="E221">
        <v>296.60479823213899</v>
      </c>
      <c r="F221" t="s">
        <v>10</v>
      </c>
      <c r="G221">
        <f t="shared" si="17"/>
        <v>10.333333333333334</v>
      </c>
      <c r="H221">
        <v>7</v>
      </c>
      <c r="I221">
        <f t="shared" si="18"/>
        <v>5.782156460468129</v>
      </c>
      <c r="J221">
        <f t="shared" si="19"/>
        <v>27.773262811877171</v>
      </c>
      <c r="K221">
        <f t="shared" si="20"/>
        <v>80.36335252375396</v>
      </c>
      <c r="L221" s="6" t="str">
        <f t="shared" si="21"/>
        <v>Aug</v>
      </c>
    </row>
    <row r="222" spans="1:12" x14ac:dyDescent="0.25">
      <c r="A222" s="1">
        <v>45147</v>
      </c>
      <c r="B222" t="s">
        <v>6</v>
      </c>
      <c r="C222">
        <v>567.44667220008603</v>
      </c>
      <c r="D222">
        <v>16</v>
      </c>
      <c r="E222">
        <v>113.262065392406</v>
      </c>
      <c r="F222" t="s">
        <v>9</v>
      </c>
      <c r="G222">
        <f t="shared" si="17"/>
        <v>10.619047619047619</v>
      </c>
      <c r="H222">
        <v>7</v>
      </c>
      <c r="I222">
        <f t="shared" si="18"/>
        <v>5.5988944486942271</v>
      </c>
      <c r="J222">
        <f t="shared" si="19"/>
        <v>27.329590496235607</v>
      </c>
      <c r="K222">
        <f t="shared" si="20"/>
        <v>78.252868577216432</v>
      </c>
      <c r="L222" s="6" t="str">
        <f t="shared" si="21"/>
        <v>Aug</v>
      </c>
    </row>
    <row r="223" spans="1:12" x14ac:dyDescent="0.25">
      <c r="A223" s="1">
        <v>45148</v>
      </c>
      <c r="B223" t="s">
        <v>6</v>
      </c>
      <c r="C223">
        <v>1214.2956807620899</v>
      </c>
      <c r="D223">
        <v>16</v>
      </c>
      <c r="E223">
        <v>183.83038630196299</v>
      </c>
      <c r="F223" t="s">
        <v>10</v>
      </c>
      <c r="G223">
        <f t="shared" si="17"/>
        <v>10</v>
      </c>
      <c r="H223">
        <v>7</v>
      </c>
      <c r="I223">
        <f t="shared" si="18"/>
        <v>5.6920997883030831</v>
      </c>
      <c r="J223">
        <f t="shared" si="19"/>
        <v>27.556130751778301</v>
      </c>
      <c r="K223">
        <f t="shared" si="20"/>
        <v>79.327133588249197</v>
      </c>
      <c r="L223" s="6" t="str">
        <f t="shared" si="21"/>
        <v>Aug</v>
      </c>
    </row>
    <row r="224" spans="1:12" x14ac:dyDescent="0.25">
      <c r="A224" s="1">
        <v>45149</v>
      </c>
      <c r="B224" t="s">
        <v>6</v>
      </c>
      <c r="C224">
        <v>1293.5266336084101</v>
      </c>
      <c r="D224">
        <v>18</v>
      </c>
      <c r="E224">
        <v>146.929611722836</v>
      </c>
      <c r="F224" t="s">
        <v>9</v>
      </c>
      <c r="G224">
        <f t="shared" si="17"/>
        <v>9.9047619047619051</v>
      </c>
      <c r="H224">
        <v>7</v>
      </c>
      <c r="I224">
        <f t="shared" si="18"/>
        <v>5.6027204276562106</v>
      </c>
      <c r="J224">
        <f t="shared" si="19"/>
        <v>27.338926677000462</v>
      </c>
      <c r="K224">
        <f t="shared" si="20"/>
        <v>78.297002947587899</v>
      </c>
      <c r="L224" s="6" t="str">
        <f t="shared" si="21"/>
        <v>Aug</v>
      </c>
    </row>
    <row r="225" spans="1:12" x14ac:dyDescent="0.25">
      <c r="A225" s="1">
        <v>45150</v>
      </c>
      <c r="B225" t="s">
        <v>6</v>
      </c>
      <c r="C225">
        <v>1449.3329623725999</v>
      </c>
      <c r="D225">
        <v>17</v>
      </c>
      <c r="E225">
        <v>362.64235106781803</v>
      </c>
      <c r="F225" t="s">
        <v>11</v>
      </c>
      <c r="G225">
        <f t="shared" si="17"/>
        <v>9.1428571428571423</v>
      </c>
      <c r="H225">
        <v>7</v>
      </c>
      <c r="I225">
        <f t="shared" si="18"/>
        <v>5.5343085772814868</v>
      </c>
      <c r="J225">
        <f t="shared" si="19"/>
        <v>27.171503454553143</v>
      </c>
      <c r="K225">
        <f t="shared" si="20"/>
        <v>77.507357657446661</v>
      </c>
      <c r="L225" s="6" t="str">
        <f t="shared" si="21"/>
        <v>Aug</v>
      </c>
    </row>
    <row r="226" spans="1:12" x14ac:dyDescent="0.25">
      <c r="A226" s="1">
        <v>45151</v>
      </c>
      <c r="B226" t="s">
        <v>6</v>
      </c>
      <c r="C226">
        <v>843.88536393928098</v>
      </c>
      <c r="D226">
        <v>11</v>
      </c>
      <c r="E226">
        <v>298.79125647475399</v>
      </c>
      <c r="F226" t="s">
        <v>11</v>
      </c>
      <c r="G226">
        <f t="shared" si="17"/>
        <v>8.8571428571428577</v>
      </c>
      <c r="H226">
        <v>7</v>
      </c>
      <c r="I226">
        <f t="shared" si="18"/>
        <v>5.256288750494158</v>
      </c>
      <c r="J226">
        <f t="shared" si="19"/>
        <v>26.480220165961548</v>
      </c>
      <c r="K226">
        <f t="shared" si="20"/>
        <v>74.287417849027463</v>
      </c>
      <c r="L226" s="6" t="str">
        <f t="shared" si="21"/>
        <v>Aug</v>
      </c>
    </row>
    <row r="227" spans="1:12" x14ac:dyDescent="0.25">
      <c r="A227" s="1">
        <v>45152</v>
      </c>
      <c r="B227" t="s">
        <v>6</v>
      </c>
      <c r="C227">
        <v>1229.74284739786</v>
      </c>
      <c r="D227">
        <v>18</v>
      </c>
      <c r="E227">
        <v>139.574640460757</v>
      </c>
      <c r="F227" t="s">
        <v>7</v>
      </c>
      <c r="G227">
        <f t="shared" si="17"/>
        <v>9.1428571428571423</v>
      </c>
      <c r="H227">
        <v>7</v>
      </c>
      <c r="I227">
        <f t="shared" si="18"/>
        <v>5.5343085772814868</v>
      </c>
      <c r="J227">
        <f t="shared" si="19"/>
        <v>27.171503454553143</v>
      </c>
      <c r="K227">
        <f t="shared" si="20"/>
        <v>77.507357657446661</v>
      </c>
      <c r="L227" s="6" t="str">
        <f t="shared" si="21"/>
        <v>Aug</v>
      </c>
    </row>
    <row r="228" spans="1:12" x14ac:dyDescent="0.25">
      <c r="A228" s="1">
        <v>45153</v>
      </c>
      <c r="B228" t="s">
        <v>6</v>
      </c>
      <c r="C228">
        <v>1350.06636270695</v>
      </c>
      <c r="D228">
        <v>2</v>
      </c>
      <c r="E228">
        <v>155.426433317662</v>
      </c>
      <c r="F228" t="s">
        <v>11</v>
      </c>
      <c r="G228">
        <f t="shared" si="17"/>
        <v>8.8095238095238102</v>
      </c>
      <c r="H228">
        <v>7</v>
      </c>
      <c r="I228">
        <f t="shared" si="18"/>
        <v>5.1731909651495336</v>
      </c>
      <c r="J228">
        <f t="shared" si="19"/>
        <v>26.270070569535221</v>
      </c>
      <c r="K228">
        <f t="shared" si="20"/>
        <v>73.321474109704781</v>
      </c>
      <c r="L228" s="6" t="str">
        <f t="shared" si="21"/>
        <v>Aug</v>
      </c>
    </row>
    <row r="229" spans="1:12" x14ac:dyDescent="0.25">
      <c r="A229" s="1">
        <v>45154</v>
      </c>
      <c r="B229" t="s">
        <v>6</v>
      </c>
      <c r="C229">
        <v>916.12950869999997</v>
      </c>
      <c r="D229">
        <v>14</v>
      </c>
      <c r="E229">
        <v>307.29814979261499</v>
      </c>
      <c r="F229" t="s">
        <v>7</v>
      </c>
      <c r="G229">
        <f t="shared" si="17"/>
        <v>9</v>
      </c>
      <c r="H229">
        <v>7</v>
      </c>
      <c r="I229">
        <f t="shared" si="18"/>
        <v>4.9799598391954927</v>
      </c>
      <c r="J229">
        <f t="shared" si="19"/>
        <v>25.774776283185791</v>
      </c>
      <c r="K229">
        <f t="shared" si="20"/>
        <v>71.068696725392414</v>
      </c>
      <c r="L229" s="6" t="str">
        <f t="shared" si="21"/>
        <v>Aug</v>
      </c>
    </row>
    <row r="230" spans="1:12" x14ac:dyDescent="0.25">
      <c r="A230" s="1">
        <v>45155</v>
      </c>
      <c r="B230" t="s">
        <v>6</v>
      </c>
      <c r="C230">
        <v>974.98191366133403</v>
      </c>
      <c r="D230">
        <v>5</v>
      </c>
      <c r="E230">
        <v>127.752108739495</v>
      </c>
      <c r="F230" t="s">
        <v>11</v>
      </c>
      <c r="G230">
        <f t="shared" si="17"/>
        <v>8.4761904761904763</v>
      </c>
      <c r="H230">
        <v>7</v>
      </c>
      <c r="I230">
        <f t="shared" si="18"/>
        <v>5.0061866487282272</v>
      </c>
      <c r="J230">
        <f t="shared" si="19"/>
        <v>25.842558201675139</v>
      </c>
      <c r="K230">
        <f t="shared" si="20"/>
        <v>71.375017721060445</v>
      </c>
      <c r="L230" s="6" t="str">
        <f t="shared" si="21"/>
        <v>Aug</v>
      </c>
    </row>
    <row r="231" spans="1:12" x14ac:dyDescent="0.25">
      <c r="A231" s="1">
        <v>45156</v>
      </c>
      <c r="B231" t="s">
        <v>6</v>
      </c>
      <c r="C231">
        <v>1829.79388433178</v>
      </c>
      <c r="D231">
        <v>2</v>
      </c>
      <c r="E231">
        <v>516.25911559999997</v>
      </c>
      <c r="F231" t="s">
        <v>11</v>
      </c>
      <c r="G231">
        <f t="shared" si="17"/>
        <v>9</v>
      </c>
      <c r="H231">
        <v>7</v>
      </c>
      <c r="I231">
        <f t="shared" si="18"/>
        <v>5.196152422706632</v>
      </c>
      <c r="J231">
        <f t="shared" si="19"/>
        <v>26.328306507827676</v>
      </c>
      <c r="K231">
        <f t="shared" si="20"/>
        <v>73.588549971492753</v>
      </c>
      <c r="L231" s="6" t="str">
        <f t="shared" si="21"/>
        <v>Aug</v>
      </c>
    </row>
    <row r="232" spans="1:12" x14ac:dyDescent="0.25">
      <c r="A232" s="1">
        <v>45157</v>
      </c>
      <c r="B232" t="s">
        <v>6</v>
      </c>
      <c r="C232">
        <v>403.797946941926</v>
      </c>
      <c r="D232">
        <v>2</v>
      </c>
      <c r="E232">
        <v>121.846910285539</v>
      </c>
      <c r="F232" t="s">
        <v>10</v>
      </c>
      <c r="G232">
        <f t="shared" si="17"/>
        <v>9.7619047619047628</v>
      </c>
      <c r="H232">
        <v>7</v>
      </c>
      <c r="I232">
        <f t="shared" si="18"/>
        <v>5.2906026301808184</v>
      </c>
      <c r="J232">
        <f t="shared" si="19"/>
        <v>26.566513082689202</v>
      </c>
      <c r="K232">
        <f t="shared" si="20"/>
        <v>74.685803671476648</v>
      </c>
      <c r="L232" s="6" t="str">
        <f t="shared" si="21"/>
        <v>Aug</v>
      </c>
    </row>
    <row r="233" spans="1:12" x14ac:dyDescent="0.25">
      <c r="A233" s="1">
        <v>45158</v>
      </c>
      <c r="B233" t="s">
        <v>6</v>
      </c>
      <c r="C233">
        <v>1325.0021313733901</v>
      </c>
      <c r="D233">
        <v>13</v>
      </c>
      <c r="E233">
        <v>400.297082993331</v>
      </c>
      <c r="F233" t="s">
        <v>7</v>
      </c>
      <c r="G233">
        <f t="shared" si="17"/>
        <v>10.285714285714286</v>
      </c>
      <c r="H233">
        <v>7</v>
      </c>
      <c r="I233">
        <f t="shared" si="18"/>
        <v>5.0213828488062644</v>
      </c>
      <c r="J233">
        <f t="shared" si="19"/>
        <v>25.881750819600239</v>
      </c>
      <c r="K233">
        <f t="shared" si="20"/>
        <v>71.552423396838165</v>
      </c>
      <c r="L233" s="6" t="str">
        <f t="shared" si="21"/>
        <v>Aug</v>
      </c>
    </row>
    <row r="234" spans="1:12" x14ac:dyDescent="0.25">
      <c r="A234" s="1">
        <v>45159</v>
      </c>
      <c r="B234" t="s">
        <v>6</v>
      </c>
      <c r="C234">
        <v>1354.14726339188</v>
      </c>
      <c r="D234">
        <v>14</v>
      </c>
      <c r="E234">
        <v>154.95194749958401</v>
      </c>
      <c r="F234" t="s">
        <v>10</v>
      </c>
      <c r="G234">
        <f t="shared" si="17"/>
        <v>10</v>
      </c>
      <c r="H234">
        <v>7</v>
      </c>
      <c r="I234">
        <f t="shared" si="18"/>
        <v>5.0299105359837171</v>
      </c>
      <c r="J234">
        <f t="shared" si="19"/>
        <v>25.903718657300299</v>
      </c>
      <c r="K234">
        <f t="shared" si="20"/>
        <v>71.651952579818868</v>
      </c>
      <c r="L234" s="6" t="str">
        <f t="shared" si="21"/>
        <v>Aug</v>
      </c>
    </row>
    <row r="235" spans="1:12" x14ac:dyDescent="0.25">
      <c r="A235" s="1">
        <v>45160</v>
      </c>
      <c r="B235" t="s">
        <v>6</v>
      </c>
      <c r="C235">
        <v>1172.2213662682</v>
      </c>
      <c r="D235">
        <v>4</v>
      </c>
      <c r="E235">
        <v>184.016295841415</v>
      </c>
      <c r="F235" t="s">
        <v>10</v>
      </c>
      <c r="G235">
        <f t="shared" si="17"/>
        <v>9.4761904761904763</v>
      </c>
      <c r="H235">
        <v>7</v>
      </c>
      <c r="I235">
        <f t="shared" si="18"/>
        <v>5.1635167049119497</v>
      </c>
      <c r="J235">
        <f t="shared" si="19"/>
        <v>26.245495560705574</v>
      </c>
      <c r="K235">
        <f t="shared" si="20"/>
        <v>73.208909400619021</v>
      </c>
      <c r="L235" s="6" t="str">
        <f t="shared" si="21"/>
        <v>Aug</v>
      </c>
    </row>
    <row r="236" spans="1:12" x14ac:dyDescent="0.25">
      <c r="A236" s="1">
        <v>45161</v>
      </c>
      <c r="B236" t="s">
        <v>6</v>
      </c>
      <c r="C236">
        <v>1245.43818587445</v>
      </c>
      <c r="D236">
        <v>13</v>
      </c>
      <c r="E236">
        <v>169.54673357306299</v>
      </c>
      <c r="F236" t="s">
        <v>11</v>
      </c>
      <c r="G236">
        <f t="shared" si="17"/>
        <v>10.19047619047619</v>
      </c>
      <c r="H236">
        <v>7</v>
      </c>
      <c r="I236">
        <f t="shared" si="18"/>
        <v>5.4001763639630118</v>
      </c>
      <c r="J236">
        <f t="shared" si="19"/>
        <v>26.840212879065909</v>
      </c>
      <c r="K236">
        <f t="shared" si="20"/>
        <v>75.956102665586627</v>
      </c>
      <c r="L236" s="6" t="str">
        <f t="shared" si="21"/>
        <v>Aug</v>
      </c>
    </row>
    <row r="237" spans="1:12" x14ac:dyDescent="0.25">
      <c r="A237" s="1">
        <v>45162</v>
      </c>
      <c r="B237" t="s">
        <v>6</v>
      </c>
      <c r="C237">
        <v>990.88435314700405</v>
      </c>
      <c r="D237">
        <v>6</v>
      </c>
      <c r="E237">
        <v>234.458042405127</v>
      </c>
      <c r="F237" t="s">
        <v>7</v>
      </c>
      <c r="G237">
        <f t="shared" si="17"/>
        <v>10.476190476190476</v>
      </c>
      <c r="H237">
        <v>7</v>
      </c>
      <c r="I237">
        <f t="shared" si="18"/>
        <v>5.7063039493094623</v>
      </c>
      <c r="J237">
        <f t="shared" si="19"/>
        <v>27.590491343898815</v>
      </c>
      <c r="K237">
        <f t="shared" si="20"/>
        <v>79.490684406665821</v>
      </c>
      <c r="L237" s="6" t="str">
        <f t="shared" si="21"/>
        <v>Aug</v>
      </c>
    </row>
    <row r="238" spans="1:12" x14ac:dyDescent="0.25">
      <c r="A238" s="1">
        <v>45163</v>
      </c>
      <c r="B238" t="s">
        <v>6</v>
      </c>
      <c r="C238">
        <v>1649.5168203419801</v>
      </c>
      <c r="D238">
        <v>9</v>
      </c>
      <c r="E238">
        <v>213.74153438602099</v>
      </c>
      <c r="F238" t="s">
        <v>11</v>
      </c>
      <c r="G238">
        <f t="shared" si="17"/>
        <v>10.80952380952381</v>
      </c>
      <c r="H238">
        <v>7</v>
      </c>
      <c r="I238">
        <f t="shared" si="18"/>
        <v>5.6357701125848605</v>
      </c>
      <c r="J238">
        <f t="shared" si="19"/>
        <v>27.419442416725065</v>
      </c>
      <c r="K238">
        <f t="shared" si="20"/>
        <v>78.678113440711172</v>
      </c>
      <c r="L238" s="6" t="str">
        <f t="shared" si="21"/>
        <v>Aug</v>
      </c>
    </row>
    <row r="239" spans="1:12" x14ac:dyDescent="0.25">
      <c r="A239" s="1">
        <v>45164</v>
      </c>
      <c r="B239" t="s">
        <v>6</v>
      </c>
      <c r="C239">
        <v>584.20361728030002</v>
      </c>
      <c r="D239">
        <v>16</v>
      </c>
      <c r="E239">
        <v>161.232706241367</v>
      </c>
      <c r="F239" t="s">
        <v>11</v>
      </c>
      <c r="G239">
        <f t="shared" si="17"/>
        <v>11.095238095238095</v>
      </c>
      <c r="H239">
        <v>7</v>
      </c>
      <c r="I239">
        <f t="shared" si="18"/>
        <v>5.6912631454252924</v>
      </c>
      <c r="J239">
        <f t="shared" si="19"/>
        <v>27.554105533615086</v>
      </c>
      <c r="K239">
        <f t="shared" si="20"/>
        <v>79.317498903911797</v>
      </c>
      <c r="L239" s="6" t="str">
        <f t="shared" si="21"/>
        <v>Aug</v>
      </c>
    </row>
    <row r="240" spans="1:12" x14ac:dyDescent="0.25">
      <c r="A240" s="1">
        <v>45165</v>
      </c>
      <c r="B240" t="s">
        <v>6</v>
      </c>
      <c r="C240">
        <v>1790.06138200948</v>
      </c>
      <c r="D240">
        <v>5</v>
      </c>
      <c r="E240">
        <v>184.64141672933201</v>
      </c>
      <c r="F240" t="s">
        <v>10</v>
      </c>
      <c r="G240">
        <f t="shared" si="17"/>
        <v>10.714285714285714</v>
      </c>
      <c r="H240">
        <v>7</v>
      </c>
      <c r="I240">
        <f t="shared" si="18"/>
        <v>5.6137586084802145</v>
      </c>
      <c r="J240">
        <f t="shared" si="19"/>
        <v>27.365844272884797</v>
      </c>
      <c r="K240">
        <f t="shared" si="20"/>
        <v>78.424315426204842</v>
      </c>
      <c r="L240" s="6" t="str">
        <f t="shared" si="21"/>
        <v>Aug</v>
      </c>
    </row>
    <row r="241" spans="1:12" x14ac:dyDescent="0.25">
      <c r="A241" s="1">
        <v>45166</v>
      </c>
      <c r="B241" t="s">
        <v>6</v>
      </c>
      <c r="C241">
        <v>593.34115012711902</v>
      </c>
      <c r="D241">
        <v>12</v>
      </c>
      <c r="E241">
        <v>67.942790991796699</v>
      </c>
      <c r="F241" t="s">
        <v>10</v>
      </c>
      <c r="G241">
        <f t="shared" si="17"/>
        <v>10.619047619047619</v>
      </c>
      <c r="H241">
        <v>7</v>
      </c>
      <c r="I241">
        <f t="shared" si="18"/>
        <v>5.7312842406932702</v>
      </c>
      <c r="J241">
        <f t="shared" si="19"/>
        <v>27.650816369848538</v>
      </c>
      <c r="K241">
        <f t="shared" si="20"/>
        <v>79.778211130439715</v>
      </c>
      <c r="L241" s="6" t="str">
        <f t="shared" si="21"/>
        <v>Aug</v>
      </c>
    </row>
    <row r="242" spans="1:12" x14ac:dyDescent="0.25">
      <c r="A242" s="1">
        <v>45167</v>
      </c>
      <c r="B242" t="s">
        <v>6</v>
      </c>
      <c r="C242">
        <v>1149.72693851599</v>
      </c>
      <c r="D242">
        <v>10</v>
      </c>
      <c r="E242">
        <v>302.26256803764699</v>
      </c>
      <c r="F242" t="s">
        <v>10</v>
      </c>
      <c r="G242">
        <f t="shared" si="17"/>
        <v>10.142857142857142</v>
      </c>
      <c r="H242">
        <v>7</v>
      </c>
      <c r="I242">
        <f t="shared" si="18"/>
        <v>6.019017480334429</v>
      </c>
      <c r="J242">
        <f t="shared" si="19"/>
        <v>28.336407313213044</v>
      </c>
      <c r="K242">
        <f t="shared" si="20"/>
        <v>83.080804396254763</v>
      </c>
      <c r="L242" s="6" t="str">
        <f t="shared" si="21"/>
        <v>Aug</v>
      </c>
    </row>
    <row r="243" spans="1:12" x14ac:dyDescent="0.25">
      <c r="A243" s="1">
        <v>45168</v>
      </c>
      <c r="B243" t="s">
        <v>6</v>
      </c>
      <c r="C243">
        <v>898.39259802343702</v>
      </c>
      <c r="D243">
        <v>3</v>
      </c>
      <c r="E243">
        <v>109.016980365717</v>
      </c>
      <c r="F243" t="s">
        <v>9</v>
      </c>
      <c r="G243">
        <f t="shared" si="17"/>
        <v>9.8571428571428577</v>
      </c>
      <c r="H243">
        <v>7</v>
      </c>
      <c r="I243">
        <f t="shared" si="18"/>
        <v>6.1667310163952695</v>
      </c>
      <c r="J243">
        <f t="shared" si="19"/>
        <v>28.682003668061089</v>
      </c>
      <c r="K243">
        <f t="shared" si="20"/>
        <v>84.769890531465677</v>
      </c>
      <c r="L243" s="6" t="str">
        <f t="shared" si="21"/>
        <v>Aug</v>
      </c>
    </row>
    <row r="244" spans="1:12" x14ac:dyDescent="0.25">
      <c r="A244" s="1">
        <v>45169</v>
      </c>
      <c r="B244" t="s">
        <v>6</v>
      </c>
      <c r="C244">
        <v>1193.5507376118401</v>
      </c>
      <c r="D244">
        <v>14</v>
      </c>
      <c r="E244">
        <v>207.384492659579</v>
      </c>
      <c r="F244" t="s">
        <v>7</v>
      </c>
      <c r="G244">
        <f t="shared" si="17"/>
        <v>10.571428571428571</v>
      </c>
      <c r="H244">
        <v>7</v>
      </c>
      <c r="I244">
        <f t="shared" si="18"/>
        <v>6.2013823343785912</v>
      </c>
      <c r="J244">
        <f t="shared" si="19"/>
        <v>28.7624739350067</v>
      </c>
      <c r="K244">
        <f t="shared" si="20"/>
        <v>85.165522785783409</v>
      </c>
      <c r="L244" s="6" t="str">
        <f t="shared" si="21"/>
        <v>Aug</v>
      </c>
    </row>
    <row r="245" spans="1:12" x14ac:dyDescent="0.25">
      <c r="A245" s="1">
        <v>45170</v>
      </c>
      <c r="B245" t="s">
        <v>6</v>
      </c>
      <c r="C245">
        <v>902.968639736618</v>
      </c>
      <c r="D245">
        <v>2</v>
      </c>
      <c r="E245">
        <v>101.51934350000001</v>
      </c>
      <c r="F245" t="s">
        <v>10</v>
      </c>
      <c r="G245">
        <f t="shared" si="17"/>
        <v>10.047619047619047</v>
      </c>
      <c r="H245">
        <v>7</v>
      </c>
      <c r="I245">
        <f t="shared" si="18"/>
        <v>6.3598442628431586</v>
      </c>
      <c r="J245">
        <f t="shared" si="19"/>
        <v>29.127635061465845</v>
      </c>
      <c r="K245">
        <f t="shared" si="20"/>
        <v>86.971932880658386</v>
      </c>
      <c r="L245" s="6" t="str">
        <f t="shared" si="21"/>
        <v>Sep</v>
      </c>
    </row>
    <row r="246" spans="1:12" x14ac:dyDescent="0.25">
      <c r="A246" s="1">
        <v>45171</v>
      </c>
      <c r="B246" t="s">
        <v>6</v>
      </c>
      <c r="C246">
        <v>945.05485868401104</v>
      </c>
      <c r="D246">
        <v>11</v>
      </c>
      <c r="E246">
        <v>333.72392702620101</v>
      </c>
      <c r="F246" t="s">
        <v>9</v>
      </c>
      <c r="G246">
        <f t="shared" si="17"/>
        <v>10.714285714285714</v>
      </c>
      <c r="H246">
        <v>7</v>
      </c>
      <c r="I246">
        <f t="shared" si="18"/>
        <v>6.2059878918900342</v>
      </c>
      <c r="J246">
        <f t="shared" si="19"/>
        <v>28.77315241241147</v>
      </c>
      <c r="K246">
        <f t="shared" si="20"/>
        <v>85.218089905316063</v>
      </c>
      <c r="L246" s="6" t="str">
        <f t="shared" si="21"/>
        <v>Sep</v>
      </c>
    </row>
    <row r="247" spans="1:12" x14ac:dyDescent="0.25">
      <c r="A247" s="1">
        <v>45172</v>
      </c>
      <c r="B247" t="s">
        <v>6</v>
      </c>
      <c r="C247">
        <v>723.62646656712798</v>
      </c>
      <c r="D247">
        <v>17</v>
      </c>
      <c r="E247">
        <v>280.15856361277503</v>
      </c>
      <c r="F247" t="s">
        <v>9</v>
      </c>
      <c r="G247">
        <f t="shared" si="17"/>
        <v>11</v>
      </c>
      <c r="H247">
        <v>7</v>
      </c>
      <c r="I247">
        <f t="shared" si="18"/>
        <v>6.3560994328282812</v>
      </c>
      <c r="J247">
        <f t="shared" si="19"/>
        <v>29.119058270965336</v>
      </c>
      <c r="K247">
        <f t="shared" si="20"/>
        <v>86.929295969546374</v>
      </c>
      <c r="L247" s="6" t="str">
        <f t="shared" si="21"/>
        <v>Sep</v>
      </c>
    </row>
    <row r="248" spans="1:12" x14ac:dyDescent="0.25">
      <c r="A248" s="1">
        <v>45173</v>
      </c>
      <c r="B248" t="s">
        <v>6</v>
      </c>
      <c r="C248">
        <v>825.46538998238304</v>
      </c>
      <c r="D248">
        <v>11</v>
      </c>
      <c r="E248">
        <v>256.07393870749502</v>
      </c>
      <c r="F248" t="s">
        <v>11</v>
      </c>
      <c r="G248">
        <f t="shared" si="17"/>
        <v>10.238095238095237</v>
      </c>
      <c r="H248">
        <v>7</v>
      </c>
      <c r="I248">
        <f t="shared" si="18"/>
        <v>6.5567123004197914</v>
      </c>
      <c r="J248">
        <f t="shared" si="19"/>
        <v>29.57502007872101</v>
      </c>
      <c r="K248">
        <f t="shared" si="20"/>
        <v>89.2098795730153</v>
      </c>
      <c r="L248" s="6" t="str">
        <f t="shared" si="21"/>
        <v>Sep</v>
      </c>
    </row>
    <row r="249" spans="1:12" x14ac:dyDescent="0.25">
      <c r="A249" s="1">
        <v>45174</v>
      </c>
      <c r="B249" t="s">
        <v>6</v>
      </c>
      <c r="C249">
        <v>1214.8332094243201</v>
      </c>
      <c r="D249">
        <v>6</v>
      </c>
      <c r="E249">
        <v>241.95626594511501</v>
      </c>
      <c r="F249" t="s">
        <v>7</v>
      </c>
      <c r="G249">
        <f t="shared" si="17"/>
        <v>10</v>
      </c>
      <c r="H249">
        <v>7</v>
      </c>
      <c r="I249">
        <f t="shared" si="18"/>
        <v>6.6181568431097189</v>
      </c>
      <c r="J249">
        <f t="shared" si="19"/>
        <v>29.713274277045674</v>
      </c>
      <c r="K249">
        <f t="shared" si="20"/>
        <v>89.906986516757883</v>
      </c>
      <c r="L249" s="6" t="str">
        <f t="shared" si="21"/>
        <v>Sep</v>
      </c>
    </row>
    <row r="250" spans="1:12" x14ac:dyDescent="0.25">
      <c r="A250" s="1">
        <v>45175</v>
      </c>
      <c r="B250" t="s">
        <v>6</v>
      </c>
      <c r="C250">
        <v>1192.16288052243</v>
      </c>
      <c r="D250">
        <v>3</v>
      </c>
      <c r="E250">
        <v>140.99779525022601</v>
      </c>
      <c r="F250" t="s">
        <v>9</v>
      </c>
      <c r="G250">
        <f t="shared" si="17"/>
        <v>9.9047619047619051</v>
      </c>
      <c r="H250">
        <v>7</v>
      </c>
      <c r="I250">
        <f t="shared" si="18"/>
        <v>6.6925687288571192</v>
      </c>
      <c r="J250">
        <f t="shared" si="19"/>
        <v>29.879849394723557</v>
      </c>
      <c r="K250">
        <f t="shared" si="20"/>
        <v>90.750355452424017</v>
      </c>
      <c r="L250" s="6" t="str">
        <f t="shared" si="21"/>
        <v>Sep</v>
      </c>
    </row>
    <row r="251" spans="1:12" x14ac:dyDescent="0.25">
      <c r="A251" s="1">
        <v>45176</v>
      </c>
      <c r="B251" t="s">
        <v>6</v>
      </c>
      <c r="C251">
        <v>1245.45184010923</v>
      </c>
      <c r="D251">
        <v>16</v>
      </c>
      <c r="E251">
        <v>235.04698782346</v>
      </c>
      <c r="F251" t="s">
        <v>7</v>
      </c>
      <c r="G251">
        <f t="shared" si="17"/>
        <v>9.8571428571428577</v>
      </c>
      <c r="H251">
        <v>7</v>
      </c>
      <c r="I251">
        <f t="shared" si="18"/>
        <v>6.7474863044374853</v>
      </c>
      <c r="J251">
        <f t="shared" si="19"/>
        <v>30.002192282027014</v>
      </c>
      <c r="K251">
        <f t="shared" si="20"/>
        <v>91.372186765244138</v>
      </c>
      <c r="L251" s="6" t="str">
        <f t="shared" si="21"/>
        <v>Sep</v>
      </c>
    </row>
    <row r="252" spans="1:12" x14ac:dyDescent="0.25">
      <c r="A252" s="1">
        <v>45177</v>
      </c>
      <c r="B252" t="s">
        <v>6</v>
      </c>
      <c r="C252">
        <v>1224.3106345394899</v>
      </c>
      <c r="D252">
        <v>18</v>
      </c>
      <c r="E252">
        <v>226.47949579249101</v>
      </c>
      <c r="F252" t="s">
        <v>11</v>
      </c>
      <c r="G252">
        <f t="shared" si="17"/>
        <v>9.7619047619047628</v>
      </c>
      <c r="H252">
        <v>7</v>
      </c>
      <c r="I252">
        <f t="shared" si="18"/>
        <v>6.670118154161603</v>
      </c>
      <c r="J252">
        <f t="shared" si="19"/>
        <v>29.82969052907762</v>
      </c>
      <c r="K252">
        <f t="shared" si="20"/>
        <v>90.49600326454744</v>
      </c>
      <c r="L252" s="6" t="str">
        <f t="shared" si="21"/>
        <v>Sep</v>
      </c>
    </row>
    <row r="253" spans="1:12" x14ac:dyDescent="0.25">
      <c r="A253" s="1">
        <v>45178</v>
      </c>
      <c r="B253" t="s">
        <v>6</v>
      </c>
      <c r="C253">
        <v>1299.82570980337</v>
      </c>
      <c r="D253">
        <v>13</v>
      </c>
      <c r="E253">
        <v>137.37028769691099</v>
      </c>
      <c r="F253" t="s">
        <v>7</v>
      </c>
      <c r="G253">
        <f t="shared" si="17"/>
        <v>9.0476190476190474</v>
      </c>
      <c r="H253">
        <v>7</v>
      </c>
      <c r="I253">
        <f t="shared" si="18"/>
        <v>6.545809273697107</v>
      </c>
      <c r="J253">
        <f t="shared" si="19"/>
        <v>29.550419990828864</v>
      </c>
      <c r="K253">
        <f t="shared" si="20"/>
        <v>89.086113861121589</v>
      </c>
      <c r="L253" s="6" t="str">
        <f t="shared" si="21"/>
        <v>Sep</v>
      </c>
    </row>
    <row r="254" spans="1:12" x14ac:dyDescent="0.25">
      <c r="A254" s="1">
        <v>45179</v>
      </c>
      <c r="B254" t="s">
        <v>6</v>
      </c>
      <c r="C254">
        <v>1603.6102392881801</v>
      </c>
      <c r="D254">
        <v>7</v>
      </c>
      <c r="E254">
        <v>630.16800081592498</v>
      </c>
      <c r="F254" t="s">
        <v>9</v>
      </c>
      <c r="G254">
        <f t="shared" si="17"/>
        <v>8.8095238095238102</v>
      </c>
      <c r="H254">
        <v>7</v>
      </c>
      <c r="I254">
        <f t="shared" si="18"/>
        <v>6.4855149958892824</v>
      </c>
      <c r="J254">
        <f t="shared" si="19"/>
        <v>29.414008809394208</v>
      </c>
      <c r="K254">
        <f t="shared" si="20"/>
        <v>88.401311867244345</v>
      </c>
      <c r="L254" s="6" t="str">
        <f t="shared" si="21"/>
        <v>Sep</v>
      </c>
    </row>
    <row r="255" spans="1:12" x14ac:dyDescent="0.25">
      <c r="A255" s="1">
        <v>45180</v>
      </c>
      <c r="B255" t="s">
        <v>6</v>
      </c>
      <c r="C255">
        <v>1486.7495022702999</v>
      </c>
      <c r="D255">
        <v>3</v>
      </c>
      <c r="E255">
        <v>339.33564462374198</v>
      </c>
      <c r="F255" t="s">
        <v>10</v>
      </c>
      <c r="G255">
        <f t="shared" si="17"/>
        <v>8.5238095238095237</v>
      </c>
      <c r="H255">
        <v>7</v>
      </c>
      <c r="I255">
        <f t="shared" si="18"/>
        <v>6.6979030122796468</v>
      </c>
      <c r="J255">
        <f t="shared" si="19"/>
        <v>29.891754826300101</v>
      </c>
      <c r="K255">
        <f t="shared" si="20"/>
        <v>90.810777461795936</v>
      </c>
      <c r="L255" s="6" t="str">
        <f t="shared" si="21"/>
        <v>Sep</v>
      </c>
    </row>
    <row r="256" spans="1:12" x14ac:dyDescent="0.25">
      <c r="A256" s="1">
        <v>45181</v>
      </c>
      <c r="B256" t="s">
        <v>6</v>
      </c>
      <c r="C256">
        <v>919.86209921779198</v>
      </c>
      <c r="D256">
        <v>19</v>
      </c>
      <c r="E256">
        <v>160.572918347034</v>
      </c>
      <c r="F256" t="s">
        <v>11</v>
      </c>
      <c r="G256">
        <f t="shared" si="17"/>
        <v>9.0476190476190474</v>
      </c>
      <c r="H256">
        <v>7</v>
      </c>
      <c r="I256">
        <f t="shared" si="18"/>
        <v>6.6744002762509718</v>
      </c>
      <c r="J256">
        <f t="shared" si="19"/>
        <v>29.839264113790914</v>
      </c>
      <c r="K256">
        <f t="shared" si="20"/>
        <v>90.544523769216411</v>
      </c>
      <c r="L256" s="6" t="str">
        <f t="shared" si="21"/>
        <v>Sep</v>
      </c>
    </row>
    <row r="257" spans="1:12" x14ac:dyDescent="0.25">
      <c r="A257" s="1">
        <v>45182</v>
      </c>
      <c r="B257" t="s">
        <v>6</v>
      </c>
      <c r="C257">
        <v>954.44399148205196</v>
      </c>
      <c r="D257">
        <v>19</v>
      </c>
      <c r="E257">
        <v>183.07586282335299</v>
      </c>
      <c r="F257" t="s">
        <v>11</v>
      </c>
      <c r="G257">
        <f t="shared" si="17"/>
        <v>8.3809523809523814</v>
      </c>
      <c r="H257">
        <v>7</v>
      </c>
      <c r="I257">
        <f t="shared" si="18"/>
        <v>6.3204128858500255</v>
      </c>
      <c r="J257">
        <f t="shared" si="19"/>
        <v>29.037198212028098</v>
      </c>
      <c r="K257">
        <f t="shared" si="20"/>
        <v>86.522858269044988</v>
      </c>
      <c r="L257" s="6" t="str">
        <f t="shared" si="21"/>
        <v>Sep</v>
      </c>
    </row>
    <row r="258" spans="1:12" x14ac:dyDescent="0.25">
      <c r="A258" s="1">
        <v>45183</v>
      </c>
      <c r="B258" t="s">
        <v>6</v>
      </c>
      <c r="C258">
        <v>1442.2139800438299</v>
      </c>
      <c r="D258">
        <v>13</v>
      </c>
      <c r="E258">
        <v>167.42725184880601</v>
      </c>
      <c r="F258" t="s">
        <v>9</v>
      </c>
      <c r="G258">
        <f t="shared" ref="G258:G321" si="22">AVERAGE(D258:D278)</f>
        <v>8.0476190476190474</v>
      </c>
      <c r="H258">
        <v>7</v>
      </c>
      <c r="I258">
        <f t="shared" ref="I258:I321" si="23">STDEV(D258:D278)</f>
        <v>5.9031871940180798</v>
      </c>
      <c r="J258">
        <f t="shared" ref="J258:J321" si="24">1.65 * $H$2 * SQRT(I258)</f>
        <v>28.062429147349249</v>
      </c>
      <c r="K258">
        <f t="shared" ref="K258:K321" si="25">($G$2 * I258) + J258</f>
        <v>81.753322197704165</v>
      </c>
      <c r="L258" s="6" t="str">
        <f t="shared" ref="L258:L321" si="26">TEXT(A258,"mmm")</f>
        <v>Sep</v>
      </c>
    </row>
    <row r="259" spans="1:12" x14ac:dyDescent="0.25">
      <c r="A259" s="1">
        <v>45184</v>
      </c>
      <c r="B259" t="s">
        <v>6</v>
      </c>
      <c r="C259">
        <v>966.08096079188999</v>
      </c>
      <c r="D259">
        <v>15</v>
      </c>
      <c r="E259">
        <v>127.155975262377</v>
      </c>
      <c r="F259" t="s">
        <v>11</v>
      </c>
      <c r="G259">
        <f t="shared" si="22"/>
        <v>7.5238095238095237</v>
      </c>
      <c r="H259">
        <v>7</v>
      </c>
      <c r="I259">
        <f t="shared" si="23"/>
        <v>5.9297474450354759</v>
      </c>
      <c r="J259">
        <f t="shared" si="24"/>
        <v>28.125489036394463</v>
      </c>
      <c r="K259">
        <f t="shared" si="25"/>
        <v>82.057953893621885</v>
      </c>
      <c r="L259" s="6" t="str">
        <f t="shared" si="26"/>
        <v>Sep</v>
      </c>
    </row>
    <row r="260" spans="1:12" x14ac:dyDescent="0.25">
      <c r="A260" s="1">
        <v>45185</v>
      </c>
      <c r="B260" t="s">
        <v>6</v>
      </c>
      <c r="C260">
        <v>957.88748232839896</v>
      </c>
      <c r="D260">
        <v>8</v>
      </c>
      <c r="E260">
        <v>208.75868309273699</v>
      </c>
      <c r="F260" t="s">
        <v>11</v>
      </c>
      <c r="G260">
        <f t="shared" si="22"/>
        <v>7.5714285714285712</v>
      </c>
      <c r="H260">
        <v>7</v>
      </c>
      <c r="I260">
        <f t="shared" si="23"/>
        <v>5.9964275078702363</v>
      </c>
      <c r="J260">
        <f t="shared" si="24"/>
        <v>28.283182646559755</v>
      </c>
      <c r="K260">
        <f t="shared" si="25"/>
        <v>82.822118551474759</v>
      </c>
      <c r="L260" s="6" t="str">
        <f t="shared" si="26"/>
        <v>Sep</v>
      </c>
    </row>
    <row r="261" spans="1:12" x14ac:dyDescent="0.25">
      <c r="A261" s="1">
        <v>45186</v>
      </c>
      <c r="B261" t="s">
        <v>6</v>
      </c>
      <c r="C261">
        <v>968.09889924060496</v>
      </c>
      <c r="D261">
        <v>3</v>
      </c>
      <c r="E261">
        <v>356.76088385114201</v>
      </c>
      <c r="F261" t="s">
        <v>10</v>
      </c>
      <c r="G261">
        <f t="shared" si="22"/>
        <v>7.4761904761904763</v>
      </c>
      <c r="H261">
        <v>7</v>
      </c>
      <c r="I261">
        <f t="shared" si="23"/>
        <v>6.005156514355372</v>
      </c>
      <c r="J261">
        <f t="shared" si="24"/>
        <v>28.303761091174653</v>
      </c>
      <c r="K261">
        <f t="shared" si="25"/>
        <v>82.922089388406846</v>
      </c>
      <c r="L261" s="6" t="str">
        <f t="shared" si="26"/>
        <v>Sep</v>
      </c>
    </row>
    <row r="262" spans="1:12" x14ac:dyDescent="0.25">
      <c r="A262" s="1">
        <v>45187</v>
      </c>
      <c r="B262" t="s">
        <v>6</v>
      </c>
      <c r="C262">
        <v>888.82517127976496</v>
      </c>
      <c r="D262">
        <v>2</v>
      </c>
      <c r="E262">
        <v>88.943056312944904</v>
      </c>
      <c r="F262" t="s">
        <v>11</v>
      </c>
      <c r="G262">
        <f t="shared" si="22"/>
        <v>7.8571428571428568</v>
      </c>
      <c r="H262">
        <v>7</v>
      </c>
      <c r="I262">
        <f t="shared" si="23"/>
        <v>5.96058482269747</v>
      </c>
      <c r="J262">
        <f t="shared" si="24"/>
        <v>28.198526855314608</v>
      </c>
      <c r="K262">
        <f t="shared" si="25"/>
        <v>82.411465004610648</v>
      </c>
      <c r="L262" s="6" t="str">
        <f t="shared" si="26"/>
        <v>Sep</v>
      </c>
    </row>
    <row r="263" spans="1:12" x14ac:dyDescent="0.25">
      <c r="A263" s="1">
        <v>45188</v>
      </c>
      <c r="B263" t="s">
        <v>6</v>
      </c>
      <c r="C263">
        <v>984.78723404035395</v>
      </c>
      <c r="D263">
        <v>4</v>
      </c>
      <c r="E263">
        <v>369.64211876929198</v>
      </c>
      <c r="F263" t="s">
        <v>10</v>
      </c>
      <c r="G263">
        <f t="shared" si="22"/>
        <v>8.1428571428571423</v>
      </c>
      <c r="H263">
        <v>7</v>
      </c>
      <c r="I263">
        <f t="shared" si="23"/>
        <v>5.8076304486917412</v>
      </c>
      <c r="J263">
        <f t="shared" si="24"/>
        <v>27.834374807629498</v>
      </c>
      <c r="K263">
        <f t="shared" si="25"/>
        <v>80.65615650763533</v>
      </c>
      <c r="L263" s="6" t="str">
        <f t="shared" si="26"/>
        <v>Sep</v>
      </c>
    </row>
    <row r="264" spans="1:12" x14ac:dyDescent="0.25">
      <c r="A264" s="1">
        <v>45189</v>
      </c>
      <c r="B264" t="s">
        <v>6</v>
      </c>
      <c r="C264">
        <v>927.93164011826502</v>
      </c>
      <c r="D264">
        <v>18</v>
      </c>
      <c r="E264">
        <v>119.898110446499</v>
      </c>
      <c r="F264" t="s">
        <v>7</v>
      </c>
      <c r="G264">
        <f t="shared" si="22"/>
        <v>8.0476190476190474</v>
      </c>
      <c r="H264">
        <v>7</v>
      </c>
      <c r="I264">
        <f t="shared" si="23"/>
        <v>5.8947111080712888</v>
      </c>
      <c r="J264">
        <f t="shared" si="24"/>
        <v>28.04227520360072</v>
      </c>
      <c r="K264">
        <f t="shared" si="25"/>
        <v>81.656076234153872</v>
      </c>
      <c r="L264" s="6" t="str">
        <f t="shared" si="26"/>
        <v>Sep</v>
      </c>
    </row>
    <row r="265" spans="1:12" x14ac:dyDescent="0.25">
      <c r="A265" s="1">
        <v>45190</v>
      </c>
      <c r="B265" t="s">
        <v>6</v>
      </c>
      <c r="C265">
        <v>772.089064755913</v>
      </c>
      <c r="D265">
        <v>3</v>
      </c>
      <c r="E265">
        <v>161.352592562458</v>
      </c>
      <c r="F265" t="s">
        <v>7</v>
      </c>
      <c r="G265">
        <f t="shared" si="22"/>
        <v>7.5238095238095237</v>
      </c>
      <c r="H265">
        <v>7</v>
      </c>
      <c r="I265">
        <f t="shared" si="23"/>
        <v>5.4370860543037907</v>
      </c>
      <c r="J265">
        <f t="shared" si="24"/>
        <v>26.931781826668306</v>
      </c>
      <c r="K265">
        <f t="shared" si="25"/>
        <v>76.383374034859926</v>
      </c>
      <c r="L265" s="6" t="str">
        <f t="shared" si="26"/>
        <v>Sep</v>
      </c>
    </row>
    <row r="266" spans="1:12" x14ac:dyDescent="0.25">
      <c r="A266" s="1">
        <v>45191</v>
      </c>
      <c r="B266" t="s">
        <v>6</v>
      </c>
      <c r="C266">
        <v>972.29759110244402</v>
      </c>
      <c r="D266">
        <v>16</v>
      </c>
      <c r="E266">
        <v>146.46982770374001</v>
      </c>
      <c r="F266" t="s">
        <v>7</v>
      </c>
      <c r="G266">
        <f t="shared" si="22"/>
        <v>7.5714285714285712</v>
      </c>
      <c r="H266">
        <v>7</v>
      </c>
      <c r="I266">
        <f t="shared" si="23"/>
        <v>5.399735443254869</v>
      </c>
      <c r="J266">
        <f t="shared" si="24"/>
        <v>26.839117114182564</v>
      </c>
      <c r="K266">
        <f t="shared" si="25"/>
        <v>75.950996621881615</v>
      </c>
      <c r="L266" s="6" t="str">
        <f t="shared" si="26"/>
        <v>Sep</v>
      </c>
    </row>
    <row r="267" spans="1:12" x14ac:dyDescent="0.25">
      <c r="A267" s="1">
        <v>45192</v>
      </c>
      <c r="B267" t="s">
        <v>6</v>
      </c>
      <c r="C267">
        <v>1047.83875204123</v>
      </c>
      <c r="D267">
        <v>17</v>
      </c>
      <c r="E267">
        <v>263.01123525423901</v>
      </c>
      <c r="F267" t="s">
        <v>10</v>
      </c>
      <c r="G267">
        <f t="shared" si="22"/>
        <v>7.0476190476190474</v>
      </c>
      <c r="H267">
        <v>7</v>
      </c>
      <c r="I267">
        <f t="shared" si="23"/>
        <v>5.0643478403066915</v>
      </c>
      <c r="J267">
        <f t="shared" si="24"/>
        <v>25.99224235741336</v>
      </c>
      <c r="K267">
        <f t="shared" si="25"/>
        <v>72.053691762107547</v>
      </c>
      <c r="L267" s="6" t="str">
        <f t="shared" si="26"/>
        <v>Sep</v>
      </c>
    </row>
    <row r="268" spans="1:12" x14ac:dyDescent="0.25">
      <c r="A268" s="1">
        <v>45193</v>
      </c>
      <c r="B268" t="s">
        <v>6</v>
      </c>
      <c r="C268">
        <v>1010.11761752863</v>
      </c>
      <c r="D268">
        <v>1</v>
      </c>
      <c r="E268">
        <v>254.99663242036101</v>
      </c>
      <c r="F268" t="s">
        <v>10</v>
      </c>
      <c r="G268">
        <f t="shared" si="22"/>
        <v>6.5238095238095237</v>
      </c>
      <c r="H268">
        <v>7</v>
      </c>
      <c r="I268">
        <f t="shared" si="23"/>
        <v>4.5234836975394037</v>
      </c>
      <c r="J268">
        <f t="shared" si="24"/>
        <v>24.565097882178286</v>
      </c>
      <c r="K268">
        <f t="shared" si="25"/>
        <v>65.707259131227147</v>
      </c>
      <c r="L268" s="6" t="str">
        <f t="shared" si="26"/>
        <v>Sep</v>
      </c>
    </row>
    <row r="269" spans="1:12" x14ac:dyDescent="0.25">
      <c r="A269" s="1">
        <v>45194</v>
      </c>
      <c r="B269" t="s">
        <v>6</v>
      </c>
      <c r="C269">
        <v>1065.50393001936</v>
      </c>
      <c r="D269">
        <v>6</v>
      </c>
      <c r="E269">
        <v>220.33271496811</v>
      </c>
      <c r="F269" t="s">
        <v>9</v>
      </c>
      <c r="G269">
        <f t="shared" si="22"/>
        <v>6.9047619047619051</v>
      </c>
      <c r="H269">
        <v>7</v>
      </c>
      <c r="I269">
        <f t="shared" si="23"/>
        <v>4.3692649485326696</v>
      </c>
      <c r="J269">
        <f t="shared" si="24"/>
        <v>24.142718722145382</v>
      </c>
      <c r="K269">
        <f t="shared" si="25"/>
        <v>63.882223730228233</v>
      </c>
      <c r="L269" s="6" t="str">
        <f t="shared" si="26"/>
        <v>Sep</v>
      </c>
    </row>
    <row r="270" spans="1:12" x14ac:dyDescent="0.25">
      <c r="A270" s="1">
        <v>45195</v>
      </c>
      <c r="B270" t="s">
        <v>6</v>
      </c>
      <c r="C270">
        <v>842.60127787995896</v>
      </c>
      <c r="D270">
        <v>4</v>
      </c>
      <c r="E270">
        <v>215.02177251813399</v>
      </c>
      <c r="F270" t="s">
        <v>7</v>
      </c>
      <c r="G270">
        <f t="shared" si="22"/>
        <v>7.4285714285714288</v>
      </c>
      <c r="H270">
        <v>7</v>
      </c>
      <c r="I270">
        <f t="shared" si="23"/>
        <v>4.8843774277939307</v>
      </c>
      <c r="J270">
        <f t="shared" si="24"/>
        <v>25.526224942424992</v>
      </c>
      <c r="K270">
        <f t="shared" si="25"/>
        <v>69.950800595217402</v>
      </c>
      <c r="L270" s="6" t="str">
        <f t="shared" si="26"/>
        <v>Sep</v>
      </c>
    </row>
    <row r="271" spans="1:12" x14ac:dyDescent="0.25">
      <c r="A271" s="1">
        <v>45196</v>
      </c>
      <c r="B271" t="s">
        <v>6</v>
      </c>
      <c r="C271">
        <v>763.19844828409703</v>
      </c>
      <c r="D271">
        <v>2</v>
      </c>
      <c r="E271">
        <v>167.27893631422199</v>
      </c>
      <c r="F271" t="s">
        <v>11</v>
      </c>
      <c r="G271">
        <f t="shared" si="22"/>
        <v>7.9523809523809526</v>
      </c>
      <c r="H271">
        <v>7</v>
      </c>
      <c r="I271">
        <f t="shared" si="23"/>
        <v>5.0840553741692318</v>
      </c>
      <c r="J271">
        <f t="shared" si="24"/>
        <v>26.042766693510327</v>
      </c>
      <c r="K271">
        <f t="shared" si="25"/>
        <v>72.283460810954296</v>
      </c>
      <c r="L271" s="6" t="str">
        <f t="shared" si="26"/>
        <v>Sep</v>
      </c>
    </row>
    <row r="272" spans="1:12" x14ac:dyDescent="0.25">
      <c r="A272" s="1">
        <v>45197</v>
      </c>
      <c r="B272" t="s">
        <v>6</v>
      </c>
      <c r="C272">
        <v>612.78474406347596</v>
      </c>
      <c r="D272">
        <v>14</v>
      </c>
      <c r="E272">
        <v>200.96097822537101</v>
      </c>
      <c r="F272" t="s">
        <v>9</v>
      </c>
      <c r="G272">
        <f t="shared" si="22"/>
        <v>8.7142857142857135</v>
      </c>
      <c r="H272">
        <v>7</v>
      </c>
      <c r="I272">
        <f t="shared" si="23"/>
        <v>5.3398769381218623</v>
      </c>
      <c r="J272">
        <f t="shared" si="24"/>
        <v>26.689940675052117</v>
      </c>
      <c r="K272">
        <f t="shared" si="25"/>
        <v>75.257392826541434</v>
      </c>
      <c r="L272" s="6" t="str">
        <f t="shared" si="26"/>
        <v>Sep</v>
      </c>
    </row>
    <row r="273" spans="1:12" x14ac:dyDescent="0.25">
      <c r="A273" s="1">
        <v>45198</v>
      </c>
      <c r="B273" t="s">
        <v>6</v>
      </c>
      <c r="C273">
        <v>1052.6608688735701</v>
      </c>
      <c r="D273">
        <v>3</v>
      </c>
      <c r="E273">
        <v>216.31650490000001</v>
      </c>
      <c r="F273" t="s">
        <v>10</v>
      </c>
      <c r="G273">
        <f t="shared" si="22"/>
        <v>8.6666666666666661</v>
      </c>
      <c r="H273">
        <v>7</v>
      </c>
      <c r="I273">
        <f t="shared" si="23"/>
        <v>5.2946513892166065</v>
      </c>
      <c r="J273">
        <f t="shared" si="24"/>
        <v>26.576676465464377</v>
      </c>
      <c r="K273">
        <f t="shared" si="25"/>
        <v>74.732791481672564</v>
      </c>
      <c r="L273" s="6" t="str">
        <f t="shared" si="26"/>
        <v>Sep</v>
      </c>
    </row>
    <row r="274" spans="1:12" x14ac:dyDescent="0.25">
      <c r="A274" s="1">
        <v>45199</v>
      </c>
      <c r="B274" t="s">
        <v>6</v>
      </c>
      <c r="C274">
        <v>952.37748196918801</v>
      </c>
      <c r="D274">
        <v>8</v>
      </c>
      <c r="E274">
        <v>309.22644010815901</v>
      </c>
      <c r="F274" t="s">
        <v>11</v>
      </c>
      <c r="G274">
        <f t="shared" si="22"/>
        <v>9.1428571428571423</v>
      </c>
      <c r="H274">
        <v>7</v>
      </c>
      <c r="I274">
        <f t="shared" si="23"/>
        <v>5.2085095208294891</v>
      </c>
      <c r="J274">
        <f t="shared" si="24"/>
        <v>26.359593914786618</v>
      </c>
      <c r="K274">
        <f t="shared" si="25"/>
        <v>73.732228128045307</v>
      </c>
      <c r="L274" s="6" t="str">
        <f t="shared" si="26"/>
        <v>Sep</v>
      </c>
    </row>
    <row r="275" spans="1:12" x14ac:dyDescent="0.25">
      <c r="A275" s="1">
        <v>45200</v>
      </c>
      <c r="B275" t="s">
        <v>6</v>
      </c>
      <c r="C275">
        <v>1164.49588826634</v>
      </c>
      <c r="D275">
        <v>1</v>
      </c>
      <c r="E275">
        <v>363.53660425812899</v>
      </c>
      <c r="F275" t="s">
        <v>11</v>
      </c>
      <c r="G275">
        <f t="shared" si="22"/>
        <v>9.4761904761904763</v>
      </c>
      <c r="H275">
        <v>7</v>
      </c>
      <c r="I275">
        <f t="shared" si="23"/>
        <v>5.3536814214057191</v>
      </c>
      <c r="J275">
        <f t="shared" si="24"/>
        <v>26.724417408412783</v>
      </c>
      <c r="K275">
        <f t="shared" si="25"/>
        <v>75.41742462215052</v>
      </c>
      <c r="L275" s="6" t="str">
        <f t="shared" si="26"/>
        <v>Oct</v>
      </c>
    </row>
    <row r="276" spans="1:12" x14ac:dyDescent="0.25">
      <c r="A276" s="1">
        <v>45201</v>
      </c>
      <c r="B276" t="s">
        <v>6</v>
      </c>
      <c r="C276">
        <v>1235.0458964776301</v>
      </c>
      <c r="D276">
        <v>14</v>
      </c>
      <c r="E276">
        <v>336.01768225793398</v>
      </c>
      <c r="F276" t="s">
        <v>10</v>
      </c>
      <c r="G276">
        <f t="shared" si="22"/>
        <v>9.7142857142857135</v>
      </c>
      <c r="H276">
        <v>7</v>
      </c>
      <c r="I276">
        <f t="shared" si="23"/>
        <v>5.061055790473536</v>
      </c>
      <c r="J276">
        <f t="shared" si="24"/>
        <v>25.983792931145477</v>
      </c>
      <c r="K276">
        <f t="shared" si="25"/>
        <v>72.015300358785737</v>
      </c>
      <c r="L276" s="6" t="str">
        <f t="shared" si="26"/>
        <v>Oct</v>
      </c>
    </row>
    <row r="277" spans="1:12" x14ac:dyDescent="0.25">
      <c r="A277" s="1">
        <v>45202</v>
      </c>
      <c r="B277" t="s">
        <v>6</v>
      </c>
      <c r="C277">
        <v>1274.04211960522</v>
      </c>
      <c r="D277">
        <v>5</v>
      </c>
      <c r="E277">
        <v>196.89721630128099</v>
      </c>
      <c r="F277" t="s">
        <v>11</v>
      </c>
      <c r="G277">
        <f t="shared" si="22"/>
        <v>9.3809523809523814</v>
      </c>
      <c r="H277">
        <v>7</v>
      </c>
      <c r="I277">
        <f t="shared" si="23"/>
        <v>4.9947591581195434</v>
      </c>
      <c r="J277">
        <f t="shared" si="24"/>
        <v>25.813046286539723</v>
      </c>
      <c r="K277">
        <f t="shared" si="25"/>
        <v>71.241570058007952</v>
      </c>
      <c r="L277" s="6" t="str">
        <f t="shared" si="26"/>
        <v>Oct</v>
      </c>
    </row>
    <row r="278" spans="1:12" x14ac:dyDescent="0.25">
      <c r="A278" s="1">
        <v>45203</v>
      </c>
      <c r="B278" t="s">
        <v>6</v>
      </c>
      <c r="C278">
        <v>1099.9720109567199</v>
      </c>
      <c r="D278">
        <v>12</v>
      </c>
      <c r="E278">
        <v>140.59231016340601</v>
      </c>
      <c r="F278" t="s">
        <v>10</v>
      </c>
      <c r="G278">
        <f t="shared" si="22"/>
        <v>10.047619047619047</v>
      </c>
      <c r="H278">
        <v>7</v>
      </c>
      <c r="I278">
        <f t="shared" si="23"/>
        <v>5.3054329745666413</v>
      </c>
      <c r="J278">
        <f t="shared" si="24"/>
        <v>26.603721964973737</v>
      </c>
      <c r="K278">
        <f t="shared" si="25"/>
        <v>74.857898066984617</v>
      </c>
      <c r="L278" s="6" t="str">
        <f t="shared" si="26"/>
        <v>Oct</v>
      </c>
    </row>
    <row r="279" spans="1:12" x14ac:dyDescent="0.25">
      <c r="A279" s="1">
        <v>45204</v>
      </c>
      <c r="B279" t="s">
        <v>6</v>
      </c>
      <c r="C279">
        <v>551.14025377719895</v>
      </c>
      <c r="D279">
        <v>2</v>
      </c>
      <c r="E279">
        <v>75.189017927423393</v>
      </c>
      <c r="F279" t="s">
        <v>10</v>
      </c>
      <c r="G279">
        <f t="shared" si="22"/>
        <v>9.8571428571428577</v>
      </c>
      <c r="H279">
        <v>7</v>
      </c>
      <c r="I279">
        <f t="shared" si="23"/>
        <v>5.3036375657251913</v>
      </c>
      <c r="J279">
        <f t="shared" si="24"/>
        <v>26.599220108147055</v>
      </c>
      <c r="K279">
        <f t="shared" si="25"/>
        <v>74.837066539266644</v>
      </c>
      <c r="L279" s="6" t="str">
        <f t="shared" si="26"/>
        <v>Oct</v>
      </c>
    </row>
    <row r="280" spans="1:12" x14ac:dyDescent="0.25">
      <c r="A280" s="1">
        <v>45205</v>
      </c>
      <c r="B280" t="s">
        <v>6</v>
      </c>
      <c r="C280">
        <v>1042.4652337238001</v>
      </c>
      <c r="D280">
        <v>16</v>
      </c>
      <c r="E280">
        <v>241.13789503513499</v>
      </c>
      <c r="F280" t="s">
        <v>7</v>
      </c>
      <c r="G280">
        <f t="shared" si="22"/>
        <v>10.523809523809524</v>
      </c>
      <c r="H280">
        <v>7</v>
      </c>
      <c r="I280">
        <f t="shared" si="23"/>
        <v>5.1441136031297727</v>
      </c>
      <c r="J280">
        <f t="shared" si="24"/>
        <v>26.196137404997692</v>
      </c>
      <c r="K280">
        <f t="shared" si="25"/>
        <v>72.983075414416106</v>
      </c>
      <c r="L280" s="6" t="str">
        <f t="shared" si="26"/>
        <v>Oct</v>
      </c>
    </row>
    <row r="281" spans="1:12" x14ac:dyDescent="0.25">
      <c r="A281" s="1">
        <v>45206</v>
      </c>
      <c r="B281" t="s">
        <v>6</v>
      </c>
      <c r="C281">
        <v>866.84249490000002</v>
      </c>
      <c r="D281">
        <v>6</v>
      </c>
      <c r="E281">
        <v>212.81451019447101</v>
      </c>
      <c r="F281" t="s">
        <v>10</v>
      </c>
      <c r="G281">
        <f t="shared" si="22"/>
        <v>10.571428571428571</v>
      </c>
      <c r="H281">
        <v>7</v>
      </c>
      <c r="I281">
        <f t="shared" si="23"/>
        <v>5.2016480904750626</v>
      </c>
      <c r="J281">
        <f t="shared" si="24"/>
        <v>26.342225786550372</v>
      </c>
      <c r="K281">
        <f t="shared" si="25"/>
        <v>73.652453657061656</v>
      </c>
      <c r="L281" s="6" t="str">
        <f t="shared" si="26"/>
        <v>Oct</v>
      </c>
    </row>
    <row r="282" spans="1:12" x14ac:dyDescent="0.25">
      <c r="A282" s="1">
        <v>45207</v>
      </c>
      <c r="B282" t="s">
        <v>6</v>
      </c>
      <c r="C282">
        <v>1049.38235359244</v>
      </c>
      <c r="D282">
        <v>11</v>
      </c>
      <c r="E282">
        <v>354.25121573506902</v>
      </c>
      <c r="F282" t="s">
        <v>7</v>
      </c>
      <c r="G282">
        <f t="shared" si="22"/>
        <v>10.619047619047619</v>
      </c>
      <c r="H282">
        <v>7</v>
      </c>
      <c r="I282">
        <f t="shared" si="23"/>
        <v>5.1621331877063223</v>
      </c>
      <c r="J282">
        <f t="shared" si="24"/>
        <v>26.241979204568253</v>
      </c>
      <c r="K282">
        <f t="shared" si="25"/>
        <v>73.192809626087666</v>
      </c>
      <c r="L282" s="6" t="str">
        <f t="shared" si="26"/>
        <v>Oct</v>
      </c>
    </row>
    <row r="283" spans="1:12" x14ac:dyDescent="0.25">
      <c r="A283" s="1">
        <v>45208</v>
      </c>
      <c r="B283" t="s">
        <v>6</v>
      </c>
      <c r="C283">
        <v>1097.1095330000001</v>
      </c>
      <c r="D283">
        <v>8</v>
      </c>
      <c r="E283">
        <v>144.804289881285</v>
      </c>
      <c r="F283" t="s">
        <v>11</v>
      </c>
      <c r="G283">
        <f t="shared" si="22"/>
        <v>10.238095238095237</v>
      </c>
      <c r="H283">
        <v>7</v>
      </c>
      <c r="I283">
        <f t="shared" si="23"/>
        <v>5.4212983860396573</v>
      </c>
      <c r="J283">
        <f t="shared" si="24"/>
        <v>26.892652489921023</v>
      </c>
      <c r="K283">
        <f t="shared" si="25"/>
        <v>76.200652096281715</v>
      </c>
      <c r="L283" s="6" t="str">
        <f t="shared" si="26"/>
        <v>Oct</v>
      </c>
    </row>
    <row r="284" spans="1:12" x14ac:dyDescent="0.25">
      <c r="A284" s="1">
        <v>45209</v>
      </c>
      <c r="B284" t="s">
        <v>6</v>
      </c>
      <c r="C284">
        <v>710.92496664098701</v>
      </c>
      <c r="D284">
        <v>2</v>
      </c>
      <c r="E284">
        <v>83.083873150000002</v>
      </c>
      <c r="F284" t="s">
        <v>11</v>
      </c>
      <c r="G284">
        <f t="shared" si="22"/>
        <v>10.380952380952381</v>
      </c>
      <c r="H284">
        <v>7</v>
      </c>
      <c r="I284">
        <f t="shared" si="23"/>
        <v>5.398853493809499</v>
      </c>
      <c r="J284">
        <f t="shared" si="24"/>
        <v>26.836925181695491</v>
      </c>
      <c r="K284">
        <f t="shared" si="25"/>
        <v>75.940783149200939</v>
      </c>
      <c r="L284" s="6" t="str">
        <f t="shared" si="26"/>
        <v>Oct</v>
      </c>
    </row>
    <row r="285" spans="1:12" x14ac:dyDescent="0.25">
      <c r="A285" s="1">
        <v>45210</v>
      </c>
      <c r="B285" t="s">
        <v>6</v>
      </c>
      <c r="C285">
        <v>1117.99211500159</v>
      </c>
      <c r="D285">
        <v>7</v>
      </c>
      <c r="E285">
        <v>424.57987961403597</v>
      </c>
      <c r="F285" t="s">
        <v>11</v>
      </c>
      <c r="G285">
        <f t="shared" si="22"/>
        <v>10.619047619047619</v>
      </c>
      <c r="H285">
        <v>7</v>
      </c>
      <c r="I285">
        <f t="shared" si="23"/>
        <v>5.113474263905025</v>
      </c>
      <c r="J285">
        <f t="shared" si="24"/>
        <v>26.118006250297707</v>
      </c>
      <c r="K285">
        <f t="shared" si="25"/>
        <v>72.626272174386273</v>
      </c>
      <c r="L285" s="6" t="str">
        <f t="shared" si="26"/>
        <v>Oct</v>
      </c>
    </row>
    <row r="286" spans="1:12" x14ac:dyDescent="0.25">
      <c r="A286" s="1">
        <v>45211</v>
      </c>
      <c r="B286" t="s">
        <v>6</v>
      </c>
      <c r="C286">
        <v>1272.94306673607</v>
      </c>
      <c r="D286">
        <v>4</v>
      </c>
      <c r="E286">
        <v>416.17005700774001</v>
      </c>
      <c r="F286" t="s">
        <v>7</v>
      </c>
      <c r="G286">
        <f t="shared" si="22"/>
        <v>10.952380952380953</v>
      </c>
      <c r="H286">
        <v>7</v>
      </c>
      <c r="I286">
        <f t="shared" si="23"/>
        <v>5.0938805490135941</v>
      </c>
      <c r="J286">
        <f t="shared" si="24"/>
        <v>26.067918979845434</v>
      </c>
      <c r="K286">
        <f t="shared" si="25"/>
        <v>72.397975401826216</v>
      </c>
      <c r="L286" s="6" t="str">
        <f t="shared" si="26"/>
        <v>Oct</v>
      </c>
    </row>
    <row r="287" spans="1:12" x14ac:dyDescent="0.25">
      <c r="A287" s="1">
        <v>45212</v>
      </c>
      <c r="B287" t="s">
        <v>6</v>
      </c>
      <c r="C287">
        <v>1131.16932926411</v>
      </c>
      <c r="D287">
        <v>5</v>
      </c>
      <c r="E287">
        <v>215.53618360050299</v>
      </c>
      <c r="F287" t="s">
        <v>7</v>
      </c>
      <c r="G287">
        <f t="shared" si="22"/>
        <v>11.333333333333334</v>
      </c>
      <c r="H287">
        <v>7</v>
      </c>
      <c r="I287">
        <f t="shared" si="23"/>
        <v>4.8407988321488142</v>
      </c>
      <c r="J287">
        <f t="shared" si="24"/>
        <v>25.412096847874089</v>
      </c>
      <c r="K287">
        <f t="shared" si="25"/>
        <v>69.440314797418068</v>
      </c>
      <c r="L287" s="6" t="str">
        <f t="shared" si="26"/>
        <v>Oct</v>
      </c>
    </row>
    <row r="288" spans="1:12" x14ac:dyDescent="0.25">
      <c r="A288" s="1">
        <v>45213</v>
      </c>
      <c r="B288" t="s">
        <v>6</v>
      </c>
      <c r="C288">
        <v>1178.64726929177</v>
      </c>
      <c r="D288">
        <v>6</v>
      </c>
      <c r="E288">
        <v>227.58751733008501</v>
      </c>
      <c r="F288" t="s">
        <v>7</v>
      </c>
      <c r="G288">
        <f t="shared" si="22"/>
        <v>11.380952380952381</v>
      </c>
      <c r="H288">
        <v>7</v>
      </c>
      <c r="I288">
        <f t="shared" si="23"/>
        <v>4.7799183097223574</v>
      </c>
      <c r="J288">
        <f t="shared" si="24"/>
        <v>25.25179305143967</v>
      </c>
      <c r="K288">
        <f t="shared" si="25"/>
        <v>68.726288154152542</v>
      </c>
      <c r="L288" s="6" t="str">
        <f t="shared" si="26"/>
        <v>Oct</v>
      </c>
    </row>
    <row r="289" spans="1:12" x14ac:dyDescent="0.25">
      <c r="A289" s="1">
        <v>45214</v>
      </c>
      <c r="B289" t="s">
        <v>6</v>
      </c>
      <c r="C289">
        <v>671.69056069999999</v>
      </c>
      <c r="D289">
        <v>9</v>
      </c>
      <c r="E289">
        <v>94.038922080000006</v>
      </c>
      <c r="F289" t="s">
        <v>10</v>
      </c>
      <c r="G289">
        <f t="shared" si="22"/>
        <v>11.619047619047619</v>
      </c>
      <c r="H289">
        <v>7</v>
      </c>
      <c r="I289">
        <f t="shared" si="23"/>
        <v>4.6203483686426763</v>
      </c>
      <c r="J289">
        <f t="shared" si="24"/>
        <v>24.826719945410719</v>
      </c>
      <c r="K289">
        <f t="shared" si="25"/>
        <v>66.849888441160772</v>
      </c>
      <c r="L289" s="6" t="str">
        <f t="shared" si="26"/>
        <v>Oct</v>
      </c>
    </row>
    <row r="290" spans="1:12" x14ac:dyDescent="0.25">
      <c r="A290" s="1">
        <v>45215</v>
      </c>
      <c r="B290" t="s">
        <v>6</v>
      </c>
      <c r="C290">
        <v>735.77377309999997</v>
      </c>
      <c r="D290">
        <v>17</v>
      </c>
      <c r="E290">
        <v>135.893111812207</v>
      </c>
      <c r="F290" t="s">
        <v>11</v>
      </c>
      <c r="G290">
        <f t="shared" si="22"/>
        <v>11.761904761904763</v>
      </c>
      <c r="H290">
        <v>7</v>
      </c>
      <c r="I290">
        <f t="shared" si="23"/>
        <v>4.5815364443029587</v>
      </c>
      <c r="J290">
        <f t="shared" si="24"/>
        <v>24.722225132684262</v>
      </c>
      <c r="K290">
        <f t="shared" si="25"/>
        <v>66.39238993563022</v>
      </c>
      <c r="L290" s="6" t="str">
        <f t="shared" si="26"/>
        <v>Oct</v>
      </c>
    </row>
    <row r="291" spans="1:12" x14ac:dyDescent="0.25">
      <c r="A291" s="1">
        <v>45216</v>
      </c>
      <c r="B291" t="s">
        <v>6</v>
      </c>
      <c r="C291">
        <v>1344.7778050091899</v>
      </c>
      <c r="D291">
        <v>15</v>
      </c>
      <c r="E291">
        <v>313.42602310000001</v>
      </c>
      <c r="F291" t="s">
        <v>11</v>
      </c>
      <c r="G291">
        <f t="shared" si="22"/>
        <v>11.571428571428571</v>
      </c>
      <c r="H291">
        <v>7</v>
      </c>
      <c r="I291">
        <f t="shared" si="23"/>
        <v>4.433637655147618</v>
      </c>
      <c r="J291">
        <f t="shared" si="24"/>
        <v>24.319916679356247</v>
      </c>
      <c r="K291">
        <f t="shared" si="25"/>
        <v>64.644906780936964</v>
      </c>
      <c r="L291" s="6" t="str">
        <f t="shared" si="26"/>
        <v>Oct</v>
      </c>
    </row>
    <row r="292" spans="1:12" x14ac:dyDescent="0.25">
      <c r="A292" s="1">
        <v>45217</v>
      </c>
      <c r="B292" t="s">
        <v>6</v>
      </c>
      <c r="C292">
        <v>441.41495953778502</v>
      </c>
      <c r="D292">
        <v>18</v>
      </c>
      <c r="E292">
        <v>155.30566057752</v>
      </c>
      <c r="F292" t="s">
        <v>9</v>
      </c>
      <c r="G292">
        <f t="shared" si="22"/>
        <v>11.19047619047619</v>
      </c>
      <c r="H292">
        <v>7</v>
      </c>
      <c r="I292">
        <f t="shared" si="23"/>
        <v>4.4678747477861069</v>
      </c>
      <c r="J292">
        <f t="shared" si="24"/>
        <v>24.413636784418994</v>
      </c>
      <c r="K292">
        <f t="shared" si="25"/>
        <v>65.05002139523549</v>
      </c>
      <c r="L292" s="6" t="str">
        <f t="shared" si="26"/>
        <v>Oct</v>
      </c>
    </row>
    <row r="293" spans="1:12" x14ac:dyDescent="0.25">
      <c r="A293" s="1">
        <v>45218</v>
      </c>
      <c r="B293" t="s">
        <v>6</v>
      </c>
      <c r="C293">
        <v>1147.4516941740301</v>
      </c>
      <c r="D293">
        <v>13</v>
      </c>
      <c r="E293">
        <v>132.811237567528</v>
      </c>
      <c r="F293" t="s">
        <v>10</v>
      </c>
      <c r="G293">
        <f t="shared" si="22"/>
        <v>10.571428571428571</v>
      </c>
      <c r="H293">
        <v>7</v>
      </c>
      <c r="I293">
        <f t="shared" si="23"/>
        <v>4.3768873480068988</v>
      </c>
      <c r="J293">
        <f t="shared" si="24"/>
        <v>24.16376863079288</v>
      </c>
      <c r="K293">
        <f t="shared" si="25"/>
        <v>63.97260117695086</v>
      </c>
      <c r="L293" s="6" t="str">
        <f t="shared" si="26"/>
        <v>Oct</v>
      </c>
    </row>
    <row r="294" spans="1:12" x14ac:dyDescent="0.25">
      <c r="A294" s="1">
        <v>45219</v>
      </c>
      <c r="B294" t="s">
        <v>6</v>
      </c>
      <c r="C294">
        <v>1154.5163879057</v>
      </c>
      <c r="D294">
        <v>13</v>
      </c>
      <c r="E294">
        <v>379.33594944213399</v>
      </c>
      <c r="F294" t="s">
        <v>7</v>
      </c>
      <c r="G294">
        <f t="shared" si="22"/>
        <v>10.428571428571429</v>
      </c>
      <c r="H294">
        <v>7</v>
      </c>
      <c r="I294">
        <f t="shared" si="23"/>
        <v>4.342481186734477</v>
      </c>
      <c r="J294">
        <f t="shared" si="24"/>
        <v>24.068607074638656</v>
      </c>
      <c r="K294">
        <f t="shared" si="25"/>
        <v>63.564507392080806</v>
      </c>
      <c r="L294" s="6" t="str">
        <f t="shared" si="26"/>
        <v>Oct</v>
      </c>
    </row>
    <row r="295" spans="1:12" x14ac:dyDescent="0.25">
      <c r="A295" s="1">
        <v>45220</v>
      </c>
      <c r="B295" t="s">
        <v>6</v>
      </c>
      <c r="C295">
        <v>810.38177263388195</v>
      </c>
      <c r="D295">
        <v>15</v>
      </c>
      <c r="E295">
        <v>149.73025325836699</v>
      </c>
      <c r="F295" t="s">
        <v>7</v>
      </c>
      <c r="G295">
        <f t="shared" si="22"/>
        <v>10.047619047619047</v>
      </c>
      <c r="H295">
        <v>7</v>
      </c>
      <c r="I295">
        <f t="shared" si="23"/>
        <v>4.4550666715122276</v>
      </c>
      <c r="J295">
        <f t="shared" si="24"/>
        <v>24.378618329314929</v>
      </c>
      <c r="K295">
        <f t="shared" si="25"/>
        <v>64.898510436878524</v>
      </c>
      <c r="L295" s="6" t="str">
        <f t="shared" si="26"/>
        <v>Oct</v>
      </c>
    </row>
    <row r="296" spans="1:12" x14ac:dyDescent="0.25">
      <c r="A296" s="1">
        <v>45221</v>
      </c>
      <c r="B296" t="s">
        <v>6</v>
      </c>
      <c r="C296">
        <v>1547.04744078983</v>
      </c>
      <c r="D296">
        <v>6</v>
      </c>
      <c r="E296">
        <v>310.12652459873198</v>
      </c>
      <c r="F296" t="s">
        <v>7</v>
      </c>
      <c r="G296">
        <f t="shared" si="22"/>
        <v>10.095238095238095</v>
      </c>
      <c r="H296">
        <v>7</v>
      </c>
      <c r="I296">
        <f t="shared" si="23"/>
        <v>4.5155814897392998</v>
      </c>
      <c r="J296">
        <f t="shared" si="24"/>
        <v>24.543631754183139</v>
      </c>
      <c r="K296">
        <f t="shared" si="25"/>
        <v>65.613920541812007</v>
      </c>
      <c r="L296" s="6" t="str">
        <f t="shared" si="26"/>
        <v>Oct</v>
      </c>
    </row>
    <row r="297" spans="1:12" x14ac:dyDescent="0.25">
      <c r="A297" s="1">
        <v>45222</v>
      </c>
      <c r="B297" t="s">
        <v>6</v>
      </c>
      <c r="C297">
        <v>855.47020867195704</v>
      </c>
      <c r="D297">
        <v>7</v>
      </c>
      <c r="E297">
        <v>222.41974290033301</v>
      </c>
      <c r="F297" t="s">
        <v>11</v>
      </c>
      <c r="G297">
        <f t="shared" si="22"/>
        <v>10.285714285714286</v>
      </c>
      <c r="H297">
        <v>7</v>
      </c>
      <c r="I297">
        <f t="shared" si="23"/>
        <v>4.417497675640103</v>
      </c>
      <c r="J297">
        <f t="shared" si="24"/>
        <v>24.275609851754059</v>
      </c>
      <c r="K297">
        <f t="shared" si="25"/>
        <v>64.453802996861654</v>
      </c>
      <c r="L297" s="6" t="str">
        <f t="shared" si="26"/>
        <v>Oct</v>
      </c>
    </row>
    <row r="298" spans="1:12" x14ac:dyDescent="0.25">
      <c r="A298" s="1">
        <v>45223</v>
      </c>
      <c r="B298" t="s">
        <v>6</v>
      </c>
      <c r="C298">
        <v>1053.21375127434</v>
      </c>
      <c r="D298">
        <v>19</v>
      </c>
      <c r="E298">
        <v>212.11142011698999</v>
      </c>
      <c r="F298" t="s">
        <v>11</v>
      </c>
      <c r="G298">
        <f t="shared" si="22"/>
        <v>10.714285714285714</v>
      </c>
      <c r="H298">
        <v>7</v>
      </c>
      <c r="I298">
        <f t="shared" si="23"/>
        <v>4.5182170946387368</v>
      </c>
      <c r="J298">
        <f t="shared" si="24"/>
        <v>24.550793387740931</v>
      </c>
      <c r="K298">
        <f t="shared" si="25"/>
        <v>65.645053629455163</v>
      </c>
      <c r="L298" s="6" t="str">
        <f t="shared" si="26"/>
        <v>Oct</v>
      </c>
    </row>
    <row r="299" spans="1:12" x14ac:dyDescent="0.25">
      <c r="A299" s="1">
        <v>45224</v>
      </c>
      <c r="B299" t="s">
        <v>6</v>
      </c>
      <c r="C299">
        <v>1391.03003245472</v>
      </c>
      <c r="D299">
        <v>8</v>
      </c>
      <c r="E299">
        <v>382.43828938754899</v>
      </c>
      <c r="F299" t="s">
        <v>10</v>
      </c>
      <c r="G299">
        <f t="shared" si="22"/>
        <v>10.523809523809524</v>
      </c>
      <c r="H299">
        <v>7</v>
      </c>
      <c r="I299">
        <f t="shared" si="23"/>
        <v>4.2263346722549988</v>
      </c>
      <c r="J299">
        <f t="shared" si="24"/>
        <v>23.744549082168252</v>
      </c>
      <c r="K299">
        <f t="shared" si="25"/>
        <v>62.184069196487528</v>
      </c>
      <c r="L299" s="6" t="str">
        <f t="shared" si="26"/>
        <v>Oct</v>
      </c>
    </row>
    <row r="300" spans="1:12" x14ac:dyDescent="0.25">
      <c r="A300" s="1">
        <v>45225</v>
      </c>
      <c r="B300" t="s">
        <v>6</v>
      </c>
      <c r="C300">
        <v>836.92212288290204</v>
      </c>
      <c r="D300">
        <v>16</v>
      </c>
      <c r="E300">
        <v>268.60342011284098</v>
      </c>
      <c r="F300" t="s">
        <v>10</v>
      </c>
      <c r="G300">
        <f t="shared" si="22"/>
        <v>10.380952380952381</v>
      </c>
      <c r="H300">
        <v>7</v>
      </c>
      <c r="I300">
        <f t="shared" si="23"/>
        <v>4.3643578047198464</v>
      </c>
      <c r="J300">
        <f t="shared" si="24"/>
        <v>24.129157507964077</v>
      </c>
      <c r="K300">
        <f t="shared" si="25"/>
        <v>63.82403087470172</v>
      </c>
      <c r="L300" s="6" t="str">
        <f t="shared" si="26"/>
        <v>Oct</v>
      </c>
    </row>
    <row r="301" spans="1:12" x14ac:dyDescent="0.25">
      <c r="A301" s="1">
        <v>45226</v>
      </c>
      <c r="B301" t="s">
        <v>6</v>
      </c>
      <c r="C301">
        <v>1109.1911892558201</v>
      </c>
      <c r="D301">
        <v>17</v>
      </c>
      <c r="E301">
        <v>191.313721066234</v>
      </c>
      <c r="F301" t="s">
        <v>10</v>
      </c>
      <c r="G301">
        <f t="shared" si="22"/>
        <v>10.047619047619047</v>
      </c>
      <c r="H301">
        <v>7</v>
      </c>
      <c r="I301">
        <f t="shared" si="23"/>
        <v>4.1770347194653574</v>
      </c>
      <c r="J301">
        <f t="shared" si="24"/>
        <v>23.605653436485873</v>
      </c>
      <c r="K301">
        <f t="shared" si="25"/>
        <v>61.59677874209936</v>
      </c>
      <c r="L301" s="6" t="str">
        <f t="shared" si="26"/>
        <v>Oct</v>
      </c>
    </row>
    <row r="302" spans="1:12" x14ac:dyDescent="0.25">
      <c r="A302" s="1">
        <v>45227</v>
      </c>
      <c r="B302" t="s">
        <v>6</v>
      </c>
      <c r="C302">
        <v>830.04670143055796</v>
      </c>
      <c r="D302">
        <v>7</v>
      </c>
      <c r="E302">
        <v>146.250432169139</v>
      </c>
      <c r="F302" t="s">
        <v>10</v>
      </c>
      <c r="G302">
        <f t="shared" si="22"/>
        <v>10</v>
      </c>
      <c r="H302">
        <v>7</v>
      </c>
      <c r="I302">
        <f t="shared" si="23"/>
        <v>4.0987803063838397</v>
      </c>
      <c r="J302">
        <f t="shared" si="24"/>
        <v>23.383488615310807</v>
      </c>
      <c r="K302">
        <f t="shared" si="25"/>
        <v>60.66287140194477</v>
      </c>
      <c r="L302" s="6" t="str">
        <f t="shared" si="26"/>
        <v>Oct</v>
      </c>
    </row>
    <row r="303" spans="1:12" x14ac:dyDescent="0.25">
      <c r="A303" s="1">
        <v>45228</v>
      </c>
      <c r="B303" t="s">
        <v>6</v>
      </c>
      <c r="C303">
        <v>368.4666436</v>
      </c>
      <c r="D303">
        <v>3</v>
      </c>
      <c r="E303">
        <v>66.338132004805999</v>
      </c>
      <c r="F303" t="s">
        <v>11</v>
      </c>
      <c r="G303">
        <f t="shared" si="22"/>
        <v>10.523809523809524</v>
      </c>
      <c r="H303">
        <v>7</v>
      </c>
      <c r="I303">
        <f t="shared" si="23"/>
        <v>4.3888386575385487</v>
      </c>
      <c r="J303">
        <f t="shared" si="24"/>
        <v>24.196736329767411</v>
      </c>
      <c r="K303">
        <f t="shared" si="25"/>
        <v>64.114268881665637</v>
      </c>
      <c r="L303" s="6" t="str">
        <f t="shared" si="26"/>
        <v>Oct</v>
      </c>
    </row>
    <row r="304" spans="1:12" x14ac:dyDescent="0.25">
      <c r="A304" s="1">
        <v>45229</v>
      </c>
      <c r="B304" t="s">
        <v>6</v>
      </c>
      <c r="C304">
        <v>950.49779159009699</v>
      </c>
      <c r="D304">
        <v>11</v>
      </c>
      <c r="E304">
        <v>326.48468459999998</v>
      </c>
      <c r="F304" t="s">
        <v>9</v>
      </c>
      <c r="G304">
        <f t="shared" si="22"/>
        <v>10.80952380952381</v>
      </c>
      <c r="H304">
        <v>7</v>
      </c>
      <c r="I304">
        <f t="shared" si="23"/>
        <v>4.0573272929238486</v>
      </c>
      <c r="J304">
        <f t="shared" si="24"/>
        <v>23.264943674857108</v>
      </c>
      <c r="K304">
        <f t="shared" si="25"/>
        <v>60.167301434307348</v>
      </c>
      <c r="L304" s="6" t="str">
        <f t="shared" si="26"/>
        <v>Oct</v>
      </c>
    </row>
    <row r="305" spans="1:12" x14ac:dyDescent="0.25">
      <c r="A305" s="1">
        <v>45230</v>
      </c>
      <c r="B305" t="s">
        <v>6</v>
      </c>
      <c r="C305">
        <v>469.89689049999998</v>
      </c>
      <c r="D305">
        <v>7</v>
      </c>
      <c r="E305">
        <v>71.540395514655003</v>
      </c>
      <c r="F305" t="s">
        <v>10</v>
      </c>
      <c r="G305">
        <f t="shared" si="22"/>
        <v>11</v>
      </c>
      <c r="H305">
        <v>7</v>
      </c>
      <c r="I305">
        <f t="shared" si="23"/>
        <v>4.1593268686170841</v>
      </c>
      <c r="J305">
        <f t="shared" si="24"/>
        <v>23.555564153521999</v>
      </c>
      <c r="K305">
        <f t="shared" si="25"/>
        <v>61.385632339515475</v>
      </c>
      <c r="L305" s="6" t="str">
        <f t="shared" si="26"/>
        <v>Oct</v>
      </c>
    </row>
    <row r="306" spans="1:12" x14ac:dyDescent="0.25">
      <c r="A306" s="1">
        <v>45231</v>
      </c>
      <c r="B306" t="s">
        <v>6</v>
      </c>
      <c r="C306">
        <v>629.86814753333294</v>
      </c>
      <c r="D306">
        <v>14</v>
      </c>
      <c r="E306">
        <v>209.59692544915501</v>
      </c>
      <c r="F306" t="s">
        <v>10</v>
      </c>
      <c r="G306">
        <f t="shared" si="22"/>
        <v>11.285714285714286</v>
      </c>
      <c r="H306">
        <v>7</v>
      </c>
      <c r="I306">
        <f t="shared" si="23"/>
        <v>4.0760625258067016</v>
      </c>
      <c r="J306">
        <f t="shared" si="24"/>
        <v>23.318596250609264</v>
      </c>
      <c r="K306">
        <f t="shared" si="25"/>
        <v>60.391355413898793</v>
      </c>
      <c r="L306" s="6" t="str">
        <f t="shared" si="26"/>
        <v>Nov</v>
      </c>
    </row>
    <row r="307" spans="1:12" x14ac:dyDescent="0.25">
      <c r="A307" s="1">
        <v>45232</v>
      </c>
      <c r="B307" t="s">
        <v>6</v>
      </c>
      <c r="C307">
        <v>997.72513362368704</v>
      </c>
      <c r="D307">
        <v>12</v>
      </c>
      <c r="E307">
        <v>337.73341093666801</v>
      </c>
      <c r="F307" t="s">
        <v>7</v>
      </c>
      <c r="G307">
        <f t="shared" si="22"/>
        <v>10.904761904761905</v>
      </c>
      <c r="H307">
        <v>7</v>
      </c>
      <c r="I307">
        <f t="shared" si="23"/>
        <v>4.1821616647944388</v>
      </c>
      <c r="J307">
        <f t="shared" si="24"/>
        <v>23.620135932880235</v>
      </c>
      <c r="K307">
        <f t="shared" si="25"/>
        <v>61.657892026962983</v>
      </c>
      <c r="L307" s="6" t="str">
        <f t="shared" si="26"/>
        <v>Nov</v>
      </c>
    </row>
    <row r="308" spans="1:12" x14ac:dyDescent="0.25">
      <c r="A308" s="1">
        <v>45233</v>
      </c>
      <c r="B308" t="s">
        <v>6</v>
      </c>
      <c r="C308">
        <v>1275.6996271770499</v>
      </c>
      <c r="D308">
        <v>6</v>
      </c>
      <c r="E308">
        <v>275.56251784161401</v>
      </c>
      <c r="F308" t="s">
        <v>11</v>
      </c>
      <c r="G308">
        <f t="shared" si="22"/>
        <v>10.428571428571429</v>
      </c>
      <c r="H308">
        <v>7</v>
      </c>
      <c r="I308">
        <f t="shared" si="23"/>
        <v>4.5996894305097236</v>
      </c>
      <c r="J308">
        <f t="shared" si="24"/>
        <v>24.771153975008378</v>
      </c>
      <c r="K308">
        <f t="shared" si="25"/>
        <v>66.606424509644427</v>
      </c>
      <c r="L308" s="6" t="str">
        <f t="shared" si="26"/>
        <v>Nov</v>
      </c>
    </row>
    <row r="309" spans="1:12" x14ac:dyDescent="0.25">
      <c r="A309" s="1">
        <v>45234</v>
      </c>
      <c r="B309" t="s">
        <v>6</v>
      </c>
      <c r="C309">
        <v>710.73997857302595</v>
      </c>
      <c r="D309">
        <v>11</v>
      </c>
      <c r="E309">
        <v>225.729536880323</v>
      </c>
      <c r="F309" t="s">
        <v>7</v>
      </c>
      <c r="G309">
        <f t="shared" si="22"/>
        <v>10.857142857142858</v>
      </c>
      <c r="H309">
        <v>7</v>
      </c>
      <c r="I309">
        <f t="shared" si="23"/>
        <v>4.5856920337688862</v>
      </c>
      <c r="J309">
        <f t="shared" si="24"/>
        <v>24.733434487245272</v>
      </c>
      <c r="K309">
        <f t="shared" si="25"/>
        <v>66.441395365809896</v>
      </c>
      <c r="L309" s="6" t="str">
        <f t="shared" si="26"/>
        <v>Nov</v>
      </c>
    </row>
    <row r="310" spans="1:12" x14ac:dyDescent="0.25">
      <c r="A310" s="1">
        <v>45235</v>
      </c>
      <c r="B310" t="s">
        <v>6</v>
      </c>
      <c r="C310">
        <v>1324.51650831852</v>
      </c>
      <c r="D310">
        <v>12</v>
      </c>
      <c r="E310">
        <v>367.96236823703703</v>
      </c>
      <c r="F310" t="s">
        <v>10</v>
      </c>
      <c r="G310">
        <f t="shared" si="22"/>
        <v>10.714285714285714</v>
      </c>
      <c r="H310">
        <v>7</v>
      </c>
      <c r="I310">
        <f t="shared" si="23"/>
        <v>4.6275572081051264</v>
      </c>
      <c r="J310">
        <f t="shared" si="24"/>
        <v>24.846080182882854</v>
      </c>
      <c r="K310">
        <f t="shared" si="25"/>
        <v>66.934814789934237</v>
      </c>
      <c r="L310" s="6" t="str">
        <f t="shared" si="26"/>
        <v>Nov</v>
      </c>
    </row>
    <row r="311" spans="1:12" x14ac:dyDescent="0.25">
      <c r="A311" s="1">
        <v>45236</v>
      </c>
      <c r="B311" t="s">
        <v>6</v>
      </c>
      <c r="C311">
        <v>334.49567198467503</v>
      </c>
      <c r="D311">
        <v>13</v>
      </c>
      <c r="E311">
        <v>103.646921671689</v>
      </c>
      <c r="F311" t="s">
        <v>9</v>
      </c>
      <c r="G311">
        <f t="shared" si="22"/>
        <v>10.523809523809524</v>
      </c>
      <c r="H311">
        <v>7</v>
      </c>
      <c r="I311">
        <f t="shared" si="23"/>
        <v>4.654235142523933</v>
      </c>
      <c r="J311">
        <f t="shared" si="24"/>
        <v>24.917596264498485</v>
      </c>
      <c r="K311">
        <f t="shared" si="25"/>
        <v>67.248973036978072</v>
      </c>
      <c r="L311" s="6" t="str">
        <f t="shared" si="26"/>
        <v>Nov</v>
      </c>
    </row>
    <row r="312" spans="1:12" x14ac:dyDescent="0.25">
      <c r="A312" s="1">
        <v>45237</v>
      </c>
      <c r="B312" t="s">
        <v>6</v>
      </c>
      <c r="C312">
        <v>779.62798402822796</v>
      </c>
      <c r="D312">
        <v>7</v>
      </c>
      <c r="E312">
        <v>122.98471249365799</v>
      </c>
      <c r="F312" t="s">
        <v>7</v>
      </c>
      <c r="G312">
        <f t="shared" si="22"/>
        <v>10.142857142857142</v>
      </c>
      <c r="H312">
        <v>7</v>
      </c>
      <c r="I312">
        <f t="shared" si="23"/>
        <v>4.7674491532234953</v>
      </c>
      <c r="J312">
        <f t="shared" si="24"/>
        <v>25.21883493865046</v>
      </c>
      <c r="K312">
        <f t="shared" si="25"/>
        <v>68.579920094159391</v>
      </c>
      <c r="L312" s="6" t="str">
        <f t="shared" si="26"/>
        <v>Nov</v>
      </c>
    </row>
    <row r="313" spans="1:12" x14ac:dyDescent="0.25">
      <c r="A313" s="1">
        <v>45238</v>
      </c>
      <c r="B313" t="s">
        <v>6</v>
      </c>
      <c r="C313">
        <v>1276.835529</v>
      </c>
      <c r="D313">
        <v>5</v>
      </c>
      <c r="E313">
        <v>149.51835498182299</v>
      </c>
      <c r="F313" t="s">
        <v>9</v>
      </c>
      <c r="G313">
        <f t="shared" si="22"/>
        <v>10.666666666666666</v>
      </c>
      <c r="H313">
        <v>7</v>
      </c>
      <c r="I313">
        <f t="shared" si="23"/>
        <v>5.0033322229623449</v>
      </c>
      <c r="J313">
        <f t="shared" si="24"/>
        <v>25.835189700749911</v>
      </c>
      <c r="K313">
        <f t="shared" si="25"/>
        <v>71.341687538169339</v>
      </c>
      <c r="L313" s="6" t="str">
        <f t="shared" si="26"/>
        <v>Nov</v>
      </c>
    </row>
    <row r="314" spans="1:12" x14ac:dyDescent="0.25">
      <c r="A314" s="1">
        <v>45239</v>
      </c>
      <c r="B314" t="s">
        <v>6</v>
      </c>
      <c r="C314">
        <v>1294.33635640375</v>
      </c>
      <c r="D314">
        <v>10</v>
      </c>
      <c r="E314">
        <v>209.37779836874199</v>
      </c>
      <c r="F314" t="s">
        <v>11</v>
      </c>
      <c r="G314">
        <f t="shared" si="22"/>
        <v>11.285714285714286</v>
      </c>
      <c r="H314">
        <v>7</v>
      </c>
      <c r="I314">
        <f t="shared" si="23"/>
        <v>5.0709255283710988</v>
      </c>
      <c r="J314">
        <f t="shared" si="24"/>
        <v>26.009116532449262</v>
      </c>
      <c r="K314">
        <f t="shared" si="25"/>
        <v>72.130391576205454</v>
      </c>
      <c r="L314" s="6" t="str">
        <f t="shared" si="26"/>
        <v>Nov</v>
      </c>
    </row>
    <row r="315" spans="1:12" x14ac:dyDescent="0.25">
      <c r="A315" s="1">
        <v>45240</v>
      </c>
      <c r="B315" t="s">
        <v>6</v>
      </c>
      <c r="C315">
        <v>1163.2661057021</v>
      </c>
      <c r="D315">
        <v>5</v>
      </c>
      <c r="E315">
        <v>289.84957136990101</v>
      </c>
      <c r="F315" t="s">
        <v>11</v>
      </c>
      <c r="G315">
        <f t="shared" si="22"/>
        <v>11.428571428571429</v>
      </c>
      <c r="H315">
        <v>7</v>
      </c>
      <c r="I315">
        <f t="shared" si="23"/>
        <v>5.0751495403724673</v>
      </c>
      <c r="J315">
        <f t="shared" si="24"/>
        <v>26.019946897707882</v>
      </c>
      <c r="K315">
        <f t="shared" si="25"/>
        <v>72.179640336333648</v>
      </c>
      <c r="L315" s="6" t="str">
        <f t="shared" si="26"/>
        <v>Nov</v>
      </c>
    </row>
    <row r="316" spans="1:12" x14ac:dyDescent="0.25">
      <c r="A316" s="1">
        <v>45241</v>
      </c>
      <c r="B316" t="s">
        <v>6</v>
      </c>
      <c r="C316">
        <v>1001.16418500412</v>
      </c>
      <c r="D316">
        <v>16</v>
      </c>
      <c r="E316">
        <v>162.62091105674699</v>
      </c>
      <c r="F316" t="s">
        <v>9</v>
      </c>
      <c r="G316">
        <f t="shared" si="22"/>
        <v>11.904761904761905</v>
      </c>
      <c r="H316">
        <v>7</v>
      </c>
      <c r="I316">
        <f t="shared" si="23"/>
        <v>4.9082049865990918</v>
      </c>
      <c r="J316">
        <f t="shared" si="24"/>
        <v>25.588411746819794</v>
      </c>
      <c r="K316">
        <f t="shared" si="25"/>
        <v>70.22970472017343</v>
      </c>
      <c r="L316" s="6" t="str">
        <f t="shared" si="26"/>
        <v>Nov</v>
      </c>
    </row>
    <row r="317" spans="1:12" x14ac:dyDescent="0.25">
      <c r="A317" s="1">
        <v>45242</v>
      </c>
      <c r="B317" t="s">
        <v>6</v>
      </c>
      <c r="C317">
        <v>986.57632460000002</v>
      </c>
      <c r="D317">
        <v>10</v>
      </c>
      <c r="E317">
        <v>115.067919514057</v>
      </c>
      <c r="F317" t="s">
        <v>9</v>
      </c>
      <c r="G317">
        <f t="shared" si="22"/>
        <v>11.666666666666666</v>
      </c>
      <c r="H317">
        <v>7</v>
      </c>
      <c r="I317">
        <f t="shared" si="23"/>
        <v>4.8200968178381363</v>
      </c>
      <c r="J317">
        <f t="shared" si="24"/>
        <v>25.35770032439164</v>
      </c>
      <c r="K317">
        <f t="shared" si="25"/>
        <v>69.19762852472897</v>
      </c>
      <c r="L317" s="6" t="str">
        <f t="shared" si="26"/>
        <v>Nov</v>
      </c>
    </row>
    <row r="318" spans="1:12" x14ac:dyDescent="0.25">
      <c r="A318" s="1">
        <v>45243</v>
      </c>
      <c r="B318" t="s">
        <v>6</v>
      </c>
      <c r="C318">
        <v>827.99804823521595</v>
      </c>
      <c r="D318">
        <v>16</v>
      </c>
      <c r="E318">
        <v>187.85873344302999</v>
      </c>
      <c r="F318" t="s">
        <v>7</v>
      </c>
      <c r="G318">
        <f t="shared" si="22"/>
        <v>11.428571428571429</v>
      </c>
      <c r="H318">
        <v>7</v>
      </c>
      <c r="I318">
        <f t="shared" si="23"/>
        <v>5.025648501153146</v>
      </c>
      <c r="J318">
        <f t="shared" si="24"/>
        <v>25.892741727655693</v>
      </c>
      <c r="K318">
        <f t="shared" si="25"/>
        <v>71.602211428620024</v>
      </c>
      <c r="L318" s="6" t="str">
        <f t="shared" si="26"/>
        <v>Nov</v>
      </c>
    </row>
    <row r="319" spans="1:12" x14ac:dyDescent="0.25">
      <c r="A319" s="1">
        <v>45244</v>
      </c>
      <c r="B319" t="s">
        <v>6</v>
      </c>
      <c r="C319">
        <v>810.83707127859498</v>
      </c>
      <c r="D319">
        <v>15</v>
      </c>
      <c r="E319">
        <v>145.813163426264</v>
      </c>
      <c r="F319" t="s">
        <v>10</v>
      </c>
      <c r="G319">
        <f t="shared" si="22"/>
        <v>11.380952380952381</v>
      </c>
      <c r="H319">
        <v>7</v>
      </c>
      <c r="I319">
        <f t="shared" si="23"/>
        <v>4.9847386137709409</v>
      </c>
      <c r="J319">
        <f t="shared" si="24"/>
        <v>25.787140068715988</v>
      </c>
      <c r="K319">
        <f t="shared" si="25"/>
        <v>71.124524603489789</v>
      </c>
      <c r="L319" s="6" t="str">
        <f t="shared" si="26"/>
        <v>Nov</v>
      </c>
    </row>
    <row r="320" spans="1:12" x14ac:dyDescent="0.25">
      <c r="A320" s="1">
        <v>45245</v>
      </c>
      <c r="B320" t="s">
        <v>6</v>
      </c>
      <c r="C320">
        <v>1065.00493568928</v>
      </c>
      <c r="D320">
        <v>5</v>
      </c>
      <c r="E320">
        <v>367.56742164873498</v>
      </c>
      <c r="F320" t="s">
        <v>11</v>
      </c>
      <c r="G320">
        <f t="shared" si="22"/>
        <v>11.476190476190476</v>
      </c>
      <c r="H320">
        <v>7</v>
      </c>
      <c r="I320">
        <f t="shared" si="23"/>
        <v>5.0756186580460092</v>
      </c>
      <c r="J320">
        <f t="shared" si="24"/>
        <v>26.021149437140217</v>
      </c>
      <c r="K320">
        <f t="shared" si="25"/>
        <v>72.185109612701538</v>
      </c>
      <c r="L320" s="6" t="str">
        <f t="shared" si="26"/>
        <v>Nov</v>
      </c>
    </row>
    <row r="321" spans="1:12" x14ac:dyDescent="0.25">
      <c r="A321" s="1">
        <v>45246</v>
      </c>
      <c r="B321" t="s">
        <v>6</v>
      </c>
      <c r="C321">
        <v>1175.29424993059</v>
      </c>
      <c r="D321">
        <v>9</v>
      </c>
      <c r="E321">
        <v>213.23276520426001</v>
      </c>
      <c r="F321" t="s">
        <v>7</v>
      </c>
      <c r="G321">
        <f t="shared" si="22"/>
        <v>11.285714285714286</v>
      </c>
      <c r="H321">
        <v>7</v>
      </c>
      <c r="I321">
        <f t="shared" si="23"/>
        <v>5.3957655355181728</v>
      </c>
      <c r="J321">
        <f t="shared" si="24"/>
        <v>26.829249185393969</v>
      </c>
      <c r="K321">
        <f t="shared" si="25"/>
        <v>75.905021437011641</v>
      </c>
      <c r="L321" s="6" t="str">
        <f t="shared" si="26"/>
        <v>Nov</v>
      </c>
    </row>
    <row r="322" spans="1:12" x14ac:dyDescent="0.25">
      <c r="A322" s="1">
        <v>45247</v>
      </c>
      <c r="B322" t="s">
        <v>6</v>
      </c>
      <c r="C322">
        <v>1245.6411327211699</v>
      </c>
      <c r="D322">
        <v>16</v>
      </c>
      <c r="E322">
        <v>498.01366535174998</v>
      </c>
      <c r="F322" t="s">
        <v>10</v>
      </c>
      <c r="G322">
        <f t="shared" ref="G322:G385" si="27">AVERAGE(D322:D342)</f>
        <v>11.142857142857142</v>
      </c>
      <c r="H322">
        <v>7</v>
      </c>
      <c r="I322">
        <f t="shared" ref="I322:I385" si="28">STDEV(D322:D342)</f>
        <v>5.4980516029382098</v>
      </c>
      <c r="J322">
        <f t="shared" ref="J322:J385" si="29">1.65 * $H$2 * SQRT(I322)</f>
        <v>27.082352722039573</v>
      </c>
      <c r="K322">
        <f t="shared" ref="K322:K385" si="30">($G$2 * I322) + J322</f>
        <v>77.088441110668043</v>
      </c>
      <c r="L322" s="6" t="str">
        <f t="shared" ref="L322:L388" si="31">TEXT(A322,"mmm")</f>
        <v>Nov</v>
      </c>
    </row>
    <row r="323" spans="1:12" x14ac:dyDescent="0.25">
      <c r="A323" s="1">
        <v>45248</v>
      </c>
      <c r="B323" t="s">
        <v>6</v>
      </c>
      <c r="C323">
        <v>945.94793303947597</v>
      </c>
      <c r="D323">
        <v>18</v>
      </c>
      <c r="E323">
        <v>171.704003618402</v>
      </c>
      <c r="F323" t="s">
        <v>9</v>
      </c>
      <c r="G323">
        <f t="shared" si="27"/>
        <v>10.619047619047619</v>
      </c>
      <c r="H323">
        <v>7</v>
      </c>
      <c r="I323">
        <f t="shared" si="28"/>
        <v>5.5360291769118266</v>
      </c>
      <c r="J323">
        <f t="shared" si="29"/>
        <v>27.175726895024905</v>
      </c>
      <c r="K323">
        <f t="shared" si="30"/>
        <v>77.527230361222948</v>
      </c>
      <c r="L323" s="6" t="str">
        <f t="shared" si="31"/>
        <v>Nov</v>
      </c>
    </row>
    <row r="324" spans="1:12" x14ac:dyDescent="0.25">
      <c r="A324" s="1">
        <v>45249</v>
      </c>
      <c r="B324" t="s">
        <v>8</v>
      </c>
      <c r="C324">
        <v>803.27087718829205</v>
      </c>
      <c r="D324">
        <v>9</v>
      </c>
      <c r="E324">
        <v>162.79702696444099</v>
      </c>
      <c r="F324" t="s">
        <v>10</v>
      </c>
      <c r="G324">
        <f t="shared" si="27"/>
        <v>10.095238095238095</v>
      </c>
      <c r="H324">
        <v>7</v>
      </c>
      <c r="I324">
        <f t="shared" si="28"/>
        <v>5.3188792231518276</v>
      </c>
      <c r="J324">
        <f t="shared" si="29"/>
        <v>26.637413267179518</v>
      </c>
      <c r="K324">
        <f t="shared" si="30"/>
        <v>75.013886201560425</v>
      </c>
      <c r="L324" s="6" t="str">
        <f t="shared" si="31"/>
        <v>Nov</v>
      </c>
    </row>
    <row r="325" spans="1:12" x14ac:dyDescent="0.25">
      <c r="A325" s="1">
        <v>45250</v>
      </c>
      <c r="B325" t="s">
        <v>6</v>
      </c>
      <c r="C325">
        <v>1378.82274494429</v>
      </c>
      <c r="D325">
        <v>15</v>
      </c>
      <c r="E325">
        <v>522.06231344355103</v>
      </c>
      <c r="F325" t="s">
        <v>10</v>
      </c>
      <c r="G325">
        <f t="shared" si="27"/>
        <v>9.9523809523809526</v>
      </c>
      <c r="H325">
        <v>7</v>
      </c>
      <c r="I325">
        <f t="shared" si="28"/>
        <v>5.3895843112079653</v>
      </c>
      <c r="J325">
        <f t="shared" si="29"/>
        <v>26.813877397271742</v>
      </c>
      <c r="K325">
        <f t="shared" si="30"/>
        <v>75.833429942067994</v>
      </c>
      <c r="L325" s="6" t="str">
        <f t="shared" si="31"/>
        <v>Nov</v>
      </c>
    </row>
    <row r="326" spans="1:12" x14ac:dyDescent="0.25">
      <c r="A326" s="1">
        <v>45251</v>
      </c>
      <c r="B326" t="s">
        <v>8</v>
      </c>
      <c r="C326">
        <v>1263.03686636618</v>
      </c>
      <c r="D326">
        <v>13</v>
      </c>
      <c r="E326">
        <v>445.705052840321</v>
      </c>
      <c r="F326" t="s">
        <v>10</v>
      </c>
      <c r="G326">
        <f t="shared" si="27"/>
        <v>9.3333333333333339</v>
      </c>
      <c r="H326">
        <v>7</v>
      </c>
      <c r="I326">
        <f t="shared" si="28"/>
        <v>5.5256975426938943</v>
      </c>
      <c r="J326">
        <f t="shared" si="29"/>
        <v>27.150356653996688</v>
      </c>
      <c r="K326">
        <f t="shared" si="30"/>
        <v>77.407891447069716</v>
      </c>
      <c r="L326" s="6" t="str">
        <f t="shared" si="31"/>
        <v>Nov</v>
      </c>
    </row>
    <row r="327" spans="1:12" x14ac:dyDescent="0.25">
      <c r="A327" s="1">
        <v>45252</v>
      </c>
      <c r="B327" t="s">
        <v>6</v>
      </c>
      <c r="C327">
        <v>348.52857857186501</v>
      </c>
      <c r="D327">
        <v>6</v>
      </c>
      <c r="E327">
        <v>118.122335819927</v>
      </c>
      <c r="F327" t="s">
        <v>10</v>
      </c>
      <c r="G327">
        <f t="shared" si="27"/>
        <v>8.8571428571428577</v>
      </c>
      <c r="H327">
        <v>7</v>
      </c>
      <c r="I327">
        <f t="shared" si="28"/>
        <v>5.6239284693683143</v>
      </c>
      <c r="J327">
        <f t="shared" si="29"/>
        <v>27.390620979359092</v>
      </c>
      <c r="K327">
        <f t="shared" si="30"/>
        <v>78.541589438851844</v>
      </c>
      <c r="L327" s="6" t="str">
        <f t="shared" si="31"/>
        <v>Nov</v>
      </c>
    </row>
    <row r="328" spans="1:12" x14ac:dyDescent="0.25">
      <c r="A328" s="1">
        <v>45253</v>
      </c>
      <c r="B328" t="s">
        <v>8</v>
      </c>
      <c r="C328">
        <v>706.79873223438301</v>
      </c>
      <c r="D328">
        <v>2</v>
      </c>
      <c r="E328">
        <v>159.181593459688</v>
      </c>
      <c r="F328" t="s">
        <v>7</v>
      </c>
      <c r="G328">
        <f t="shared" si="27"/>
        <v>8.6190476190476186</v>
      </c>
      <c r="H328">
        <v>7</v>
      </c>
      <c r="I328">
        <f t="shared" si="28"/>
        <v>5.8521465333345031</v>
      </c>
      <c r="J328">
        <f t="shared" si="29"/>
        <v>27.940847838123236</v>
      </c>
      <c r="K328">
        <f t="shared" si="30"/>
        <v>81.167513927022767</v>
      </c>
      <c r="L328" s="6" t="str">
        <f t="shared" si="31"/>
        <v>Nov</v>
      </c>
    </row>
    <row r="329" spans="1:12" x14ac:dyDescent="0.25">
      <c r="A329" s="1">
        <v>45254</v>
      </c>
      <c r="B329" t="s">
        <v>6</v>
      </c>
      <c r="C329">
        <v>920.31345346583805</v>
      </c>
      <c r="D329">
        <v>15</v>
      </c>
      <c r="E329">
        <v>97.304520381281804</v>
      </c>
      <c r="F329" t="s">
        <v>9</v>
      </c>
      <c r="G329">
        <f t="shared" si="27"/>
        <v>9.3333333333333339</v>
      </c>
      <c r="H329">
        <v>7</v>
      </c>
      <c r="I329">
        <f t="shared" si="28"/>
        <v>5.9188962935105849</v>
      </c>
      <c r="J329">
        <f t="shared" si="29"/>
        <v>28.099743109057879</v>
      </c>
      <c r="K329">
        <f t="shared" si="30"/>
        <v>81.933514159558911</v>
      </c>
      <c r="L329" s="6" t="str">
        <f t="shared" si="31"/>
        <v>Nov</v>
      </c>
    </row>
    <row r="330" spans="1:12" x14ac:dyDescent="0.25">
      <c r="A330" s="1">
        <v>45255</v>
      </c>
      <c r="B330" t="s">
        <v>8</v>
      </c>
      <c r="C330">
        <v>1310.95467505133</v>
      </c>
      <c r="D330">
        <v>8</v>
      </c>
      <c r="E330">
        <v>379.69971621093498</v>
      </c>
      <c r="F330" t="s">
        <v>9</v>
      </c>
      <c r="G330">
        <f t="shared" si="27"/>
        <v>9.4285714285714288</v>
      </c>
      <c r="H330">
        <v>7</v>
      </c>
      <c r="I330">
        <f t="shared" si="28"/>
        <v>6.0296884544015086</v>
      </c>
      <c r="J330">
        <f t="shared" si="29"/>
        <v>28.36151466403544</v>
      </c>
      <c r="K330">
        <f t="shared" si="30"/>
        <v>83.202966796925352</v>
      </c>
      <c r="L330" s="6" t="str">
        <f t="shared" si="31"/>
        <v>Nov</v>
      </c>
    </row>
    <row r="331" spans="1:12" x14ac:dyDescent="0.25">
      <c r="A331" s="1">
        <v>45256</v>
      </c>
      <c r="B331" t="s">
        <v>6</v>
      </c>
      <c r="C331">
        <v>1231.5388531706899</v>
      </c>
      <c r="D331">
        <v>8</v>
      </c>
      <c r="E331">
        <v>210.61302432358499</v>
      </c>
      <c r="F331" t="s">
        <v>11</v>
      </c>
      <c r="G331">
        <f t="shared" si="27"/>
        <v>9.2380952380952372</v>
      </c>
      <c r="H331">
        <v>7</v>
      </c>
      <c r="I331">
        <f t="shared" si="28"/>
        <v>6.1392569738101201</v>
      </c>
      <c r="J331">
        <f t="shared" si="29"/>
        <v>28.61804026219658</v>
      </c>
      <c r="K331">
        <f t="shared" si="30"/>
        <v>84.456044166850518</v>
      </c>
      <c r="L331" s="6" t="str">
        <f t="shared" si="31"/>
        <v>Nov</v>
      </c>
    </row>
    <row r="332" spans="1:12" x14ac:dyDescent="0.25">
      <c r="A332" s="1">
        <v>45257</v>
      </c>
      <c r="B332" t="s">
        <v>8</v>
      </c>
      <c r="C332">
        <v>1039.09802252348</v>
      </c>
      <c r="D332">
        <v>5</v>
      </c>
      <c r="E332">
        <v>184.429641789383</v>
      </c>
      <c r="F332" t="s">
        <v>7</v>
      </c>
      <c r="G332">
        <f t="shared" si="27"/>
        <v>9.6666666666666661</v>
      </c>
      <c r="H332">
        <v>7</v>
      </c>
      <c r="I332">
        <f t="shared" si="28"/>
        <v>6.3587210454094727</v>
      </c>
      <c r="J332">
        <f t="shared" si="29"/>
        <v>29.125062819850484</v>
      </c>
      <c r="K332">
        <f t="shared" si="30"/>
        <v>86.959144709050918</v>
      </c>
      <c r="L332" s="6" t="str">
        <f t="shared" si="31"/>
        <v>Nov</v>
      </c>
    </row>
    <row r="333" spans="1:12" x14ac:dyDescent="0.25">
      <c r="A333" s="1">
        <v>45258</v>
      </c>
      <c r="B333" t="s">
        <v>6</v>
      </c>
      <c r="C333">
        <v>1211.91652009066</v>
      </c>
      <c r="D333">
        <v>18</v>
      </c>
      <c r="E333">
        <v>285.21124729836401</v>
      </c>
      <c r="F333" t="s">
        <v>11</v>
      </c>
      <c r="G333">
        <f t="shared" si="27"/>
        <v>9.7619047619047628</v>
      </c>
      <c r="H333">
        <v>7</v>
      </c>
      <c r="I333">
        <f t="shared" si="28"/>
        <v>6.3000377927815787</v>
      </c>
      <c r="J333">
        <f t="shared" si="29"/>
        <v>28.990356873476816</v>
      </c>
      <c r="K333">
        <f t="shared" si="30"/>
        <v>86.290700607823553</v>
      </c>
      <c r="L333" s="6" t="str">
        <f t="shared" si="31"/>
        <v>Nov</v>
      </c>
    </row>
    <row r="334" spans="1:12" x14ac:dyDescent="0.25">
      <c r="A334" s="1">
        <v>45259</v>
      </c>
      <c r="B334" t="s">
        <v>8</v>
      </c>
      <c r="C334">
        <v>879.95774746425195</v>
      </c>
      <c r="D334">
        <v>18</v>
      </c>
      <c r="E334">
        <v>242.754515443635</v>
      </c>
      <c r="F334" t="s">
        <v>11</v>
      </c>
      <c r="G334">
        <f t="shared" si="27"/>
        <v>9.8095238095238102</v>
      </c>
      <c r="H334">
        <v>7</v>
      </c>
      <c r="I334">
        <f t="shared" si="28"/>
        <v>6.368822870978966</v>
      </c>
      <c r="J334">
        <f t="shared" si="29"/>
        <v>29.148188503674998</v>
      </c>
      <c r="K334">
        <f t="shared" si="30"/>
        <v>87.074148901626543</v>
      </c>
      <c r="L334" s="6" t="str">
        <f t="shared" si="31"/>
        <v>Nov</v>
      </c>
    </row>
    <row r="335" spans="1:12" x14ac:dyDescent="0.25">
      <c r="A335" s="1">
        <v>45260</v>
      </c>
      <c r="B335" t="s">
        <v>6</v>
      </c>
      <c r="C335">
        <v>1646.47860321494</v>
      </c>
      <c r="D335">
        <v>13</v>
      </c>
      <c r="E335">
        <v>391.22230776104499</v>
      </c>
      <c r="F335" t="s">
        <v>10</v>
      </c>
      <c r="G335">
        <f t="shared" si="27"/>
        <v>9.8571428571428577</v>
      </c>
      <c r="H335">
        <v>7</v>
      </c>
      <c r="I335">
        <f t="shared" si="28"/>
        <v>6.4365030434678916</v>
      </c>
      <c r="J335">
        <f t="shared" si="29"/>
        <v>29.302655122978624</v>
      </c>
      <c r="K335">
        <f t="shared" si="30"/>
        <v>87.844182804043726</v>
      </c>
      <c r="L335" s="6" t="str">
        <f t="shared" si="31"/>
        <v>Nov</v>
      </c>
    </row>
    <row r="336" spans="1:12" x14ac:dyDescent="0.25">
      <c r="A336" s="1">
        <v>45261</v>
      </c>
      <c r="B336" t="s">
        <v>8</v>
      </c>
      <c r="C336">
        <v>792.58461544653301</v>
      </c>
      <c r="D336">
        <v>15</v>
      </c>
      <c r="E336">
        <v>190.608814802506</v>
      </c>
      <c r="F336" t="s">
        <v>7</v>
      </c>
      <c r="G336">
        <f t="shared" si="27"/>
        <v>9.7619047619047628</v>
      </c>
      <c r="H336">
        <v>7</v>
      </c>
      <c r="I336">
        <f t="shared" si="28"/>
        <v>6.4023805096601523</v>
      </c>
      <c r="J336">
        <f t="shared" si="29"/>
        <v>29.224879228834094</v>
      </c>
      <c r="K336">
        <f t="shared" si="30"/>
        <v>87.456054340505005</v>
      </c>
      <c r="L336" s="6" t="str">
        <f t="shared" si="31"/>
        <v>Dec</v>
      </c>
    </row>
    <row r="337" spans="1:12" x14ac:dyDescent="0.25">
      <c r="A337" s="1">
        <v>45262</v>
      </c>
      <c r="B337" t="s">
        <v>6</v>
      </c>
      <c r="C337">
        <v>1144.07815042177</v>
      </c>
      <c r="D337">
        <v>11</v>
      </c>
      <c r="E337">
        <v>213.74916242235301</v>
      </c>
      <c r="F337" t="s">
        <v>11</v>
      </c>
      <c r="G337">
        <f t="shared" si="27"/>
        <v>9.1428571428571423</v>
      </c>
      <c r="H337">
        <v>7</v>
      </c>
      <c r="I337">
        <f t="shared" si="28"/>
        <v>6.4983514392937716</v>
      </c>
      <c r="J337">
        <f t="shared" si="29"/>
        <v>29.443103231153934</v>
      </c>
      <c r="K337">
        <f t="shared" si="30"/>
        <v>88.547156798063952</v>
      </c>
      <c r="L337" s="6" t="str">
        <f t="shared" si="31"/>
        <v>Dec</v>
      </c>
    </row>
    <row r="338" spans="1:12" x14ac:dyDescent="0.25">
      <c r="A338" s="1">
        <v>45263</v>
      </c>
      <c r="B338" t="s">
        <v>8</v>
      </c>
      <c r="C338">
        <v>683.46769735586497</v>
      </c>
      <c r="D338">
        <v>5</v>
      </c>
      <c r="E338">
        <v>267.81903683722697</v>
      </c>
      <c r="F338" t="s">
        <v>11</v>
      </c>
      <c r="G338">
        <f t="shared" si="27"/>
        <v>8.7142857142857135</v>
      </c>
      <c r="H338">
        <v>7</v>
      </c>
      <c r="I338">
        <f t="shared" si="28"/>
        <v>6.6644043780585305</v>
      </c>
      <c r="J338">
        <f t="shared" si="29"/>
        <v>29.816911393434982</v>
      </c>
      <c r="K338">
        <f t="shared" si="30"/>
        <v>90.431255974824467</v>
      </c>
      <c r="L338" s="6" t="str">
        <f t="shared" si="31"/>
        <v>Dec</v>
      </c>
    </row>
    <row r="339" spans="1:12" x14ac:dyDescent="0.25">
      <c r="A339" s="1">
        <v>45264</v>
      </c>
      <c r="B339" t="s">
        <v>6</v>
      </c>
      <c r="C339">
        <v>790.15143394970698</v>
      </c>
      <c r="D339">
        <v>15</v>
      </c>
      <c r="E339">
        <v>176.47098593071701</v>
      </c>
      <c r="F339" t="s">
        <v>10</v>
      </c>
      <c r="G339">
        <f t="shared" si="27"/>
        <v>8.8571428571428577</v>
      </c>
      <c r="H339">
        <v>7</v>
      </c>
      <c r="I339">
        <f t="shared" si="28"/>
        <v>6.612758231522716</v>
      </c>
      <c r="J339">
        <f t="shared" si="29"/>
        <v>29.701152839253716</v>
      </c>
      <c r="K339">
        <f t="shared" si="30"/>
        <v>89.845763421198427</v>
      </c>
      <c r="L339" s="6" t="str">
        <f t="shared" si="31"/>
        <v>Dec</v>
      </c>
    </row>
    <row r="340" spans="1:12" x14ac:dyDescent="0.25">
      <c r="A340" s="1">
        <v>45265</v>
      </c>
      <c r="B340" t="s">
        <v>8</v>
      </c>
      <c r="C340">
        <v>938.85306249999996</v>
      </c>
      <c r="D340">
        <v>17</v>
      </c>
      <c r="E340">
        <v>365.85503044751903</v>
      </c>
      <c r="F340" t="s">
        <v>11</v>
      </c>
      <c r="G340">
        <f t="shared" si="27"/>
        <v>8.3333333333333339</v>
      </c>
      <c r="H340">
        <v>7</v>
      </c>
      <c r="I340">
        <f t="shared" si="28"/>
        <v>6.5370737592085755</v>
      </c>
      <c r="J340">
        <f t="shared" si="29"/>
        <v>29.530695592261655</v>
      </c>
      <c r="K340">
        <f t="shared" si="30"/>
        <v>88.986937878396787</v>
      </c>
      <c r="L340" s="6" t="str">
        <f t="shared" si="31"/>
        <v>Dec</v>
      </c>
    </row>
    <row r="341" spans="1:12" x14ac:dyDescent="0.25">
      <c r="A341" s="1">
        <v>45266</v>
      </c>
      <c r="B341" t="s">
        <v>6</v>
      </c>
      <c r="C341">
        <v>702.14019967433603</v>
      </c>
      <c r="D341">
        <v>1</v>
      </c>
      <c r="E341">
        <v>154.54596454051199</v>
      </c>
      <c r="F341" t="s">
        <v>10</v>
      </c>
      <c r="G341">
        <f t="shared" si="27"/>
        <v>8.4285714285714288</v>
      </c>
      <c r="H341">
        <v>7</v>
      </c>
      <c r="I341">
        <f t="shared" si="28"/>
        <v>6.6826000072683431</v>
      </c>
      <c r="J341">
        <f t="shared" si="29"/>
        <v>29.857587770441452</v>
      </c>
      <c r="K341">
        <f t="shared" si="30"/>
        <v>90.637425931786851</v>
      </c>
      <c r="L341" s="6" t="str">
        <f t="shared" si="31"/>
        <v>Dec</v>
      </c>
    </row>
    <row r="342" spans="1:12" x14ac:dyDescent="0.25">
      <c r="A342" s="1">
        <v>45267</v>
      </c>
      <c r="B342" t="s">
        <v>8</v>
      </c>
      <c r="C342">
        <v>566.43842067633204</v>
      </c>
      <c r="D342">
        <v>6</v>
      </c>
      <c r="E342">
        <v>145.04765309560801</v>
      </c>
      <c r="F342" t="s">
        <v>11</v>
      </c>
      <c r="G342">
        <f t="shared" si="27"/>
        <v>8.8571428571428577</v>
      </c>
      <c r="H342">
        <v>7</v>
      </c>
      <c r="I342">
        <f t="shared" si="28"/>
        <v>6.46750117344956</v>
      </c>
      <c r="J342">
        <f t="shared" si="29"/>
        <v>29.373131009327295</v>
      </c>
      <c r="K342">
        <f t="shared" si="30"/>
        <v>88.196594063082813</v>
      </c>
      <c r="L342" s="6" t="str">
        <f t="shared" si="31"/>
        <v>Dec</v>
      </c>
    </row>
    <row r="343" spans="1:12" x14ac:dyDescent="0.25">
      <c r="A343" s="1">
        <v>45268</v>
      </c>
      <c r="B343" t="s">
        <v>6</v>
      </c>
      <c r="C343">
        <v>833.46587910168603</v>
      </c>
      <c r="D343">
        <v>5</v>
      </c>
      <c r="E343">
        <v>95.813607135384103</v>
      </c>
      <c r="F343" t="s">
        <v>7</v>
      </c>
      <c r="G343">
        <f t="shared" si="27"/>
        <v>8.9523809523809526</v>
      </c>
      <c r="H343">
        <v>7</v>
      </c>
      <c r="I343">
        <f t="shared" si="28"/>
        <v>6.4379825293036523</v>
      </c>
      <c r="J343">
        <f t="shared" si="29"/>
        <v>29.306022663702258</v>
      </c>
      <c r="K343">
        <f t="shared" si="30"/>
        <v>87.861006620702142</v>
      </c>
      <c r="L343" s="6" t="str">
        <f t="shared" si="31"/>
        <v>Dec</v>
      </c>
    </row>
    <row r="344" spans="1:12" x14ac:dyDescent="0.25">
      <c r="A344" s="1">
        <v>45269</v>
      </c>
      <c r="B344" t="s">
        <v>8</v>
      </c>
      <c r="C344">
        <v>1114.4083844075301</v>
      </c>
      <c r="D344">
        <v>7</v>
      </c>
      <c r="E344">
        <v>327.12903705027702</v>
      </c>
      <c r="F344" t="s">
        <v>7</v>
      </c>
      <c r="G344">
        <f t="shared" si="27"/>
        <v>9.2380952380952372</v>
      </c>
      <c r="H344">
        <v>7</v>
      </c>
      <c r="I344">
        <f t="shared" si="28"/>
        <v>6.3867422204498121</v>
      </c>
      <c r="J344">
        <f t="shared" si="29"/>
        <v>29.189165439655103</v>
      </c>
      <c r="K344">
        <f t="shared" si="30"/>
        <v>87.278106587555769</v>
      </c>
      <c r="L344" s="6" t="str">
        <f t="shared" si="31"/>
        <v>Dec</v>
      </c>
    </row>
    <row r="345" spans="1:12" x14ac:dyDescent="0.25">
      <c r="A345" s="1">
        <v>45270</v>
      </c>
      <c r="B345" t="s">
        <v>6</v>
      </c>
      <c r="C345">
        <v>1113.9514607185499</v>
      </c>
      <c r="D345">
        <v>6</v>
      </c>
      <c r="E345">
        <v>334.407732688257</v>
      </c>
      <c r="F345" t="s">
        <v>7</v>
      </c>
      <c r="G345">
        <f t="shared" si="27"/>
        <v>9.1428571428571423</v>
      </c>
      <c r="H345">
        <v>7</v>
      </c>
      <c r="I345">
        <f t="shared" si="28"/>
        <v>6.4365030434678916</v>
      </c>
      <c r="J345">
        <f t="shared" si="29"/>
        <v>29.302655122978624</v>
      </c>
      <c r="K345">
        <f t="shared" si="30"/>
        <v>87.844182804043726</v>
      </c>
      <c r="L345" s="6" t="str">
        <f t="shared" si="31"/>
        <v>Dec</v>
      </c>
    </row>
    <row r="346" spans="1:12" x14ac:dyDescent="0.25">
      <c r="A346" s="1">
        <v>45271</v>
      </c>
      <c r="B346" t="s">
        <v>8</v>
      </c>
      <c r="C346">
        <v>960.20127509999998</v>
      </c>
      <c r="D346">
        <v>2</v>
      </c>
      <c r="E346">
        <v>316.54284343151602</v>
      </c>
      <c r="F346" t="s">
        <v>10</v>
      </c>
      <c r="G346">
        <f t="shared" si="27"/>
        <v>9.1904761904761898</v>
      </c>
      <c r="H346">
        <v>7</v>
      </c>
      <c r="I346">
        <f t="shared" si="28"/>
        <v>6.4157544187651663</v>
      </c>
      <c r="J346">
        <f t="shared" si="29"/>
        <v>29.255387176541007</v>
      </c>
      <c r="K346">
        <f t="shared" si="30"/>
        <v>87.608201175786093</v>
      </c>
      <c r="L346" s="6" t="str">
        <f t="shared" si="31"/>
        <v>Dec</v>
      </c>
    </row>
    <row r="347" spans="1:12" x14ac:dyDescent="0.25">
      <c r="A347" s="1">
        <v>45272</v>
      </c>
      <c r="B347" t="s">
        <v>6</v>
      </c>
      <c r="C347">
        <v>1010.2024288684401</v>
      </c>
      <c r="D347">
        <v>3</v>
      </c>
      <c r="E347">
        <v>289.61583717263898</v>
      </c>
      <c r="F347" t="s">
        <v>11</v>
      </c>
      <c r="G347">
        <f t="shared" si="27"/>
        <v>9.4285714285714288</v>
      </c>
      <c r="H347">
        <v>7</v>
      </c>
      <c r="I347">
        <f t="shared" si="28"/>
        <v>6.2255235006497927</v>
      </c>
      <c r="J347">
        <f t="shared" si="29"/>
        <v>28.818403821090332</v>
      </c>
      <c r="K347">
        <f t="shared" si="30"/>
        <v>85.441022327000354</v>
      </c>
      <c r="L347" s="6" t="str">
        <f t="shared" si="31"/>
        <v>Dec</v>
      </c>
    </row>
    <row r="348" spans="1:12" x14ac:dyDescent="0.25">
      <c r="A348" s="1">
        <v>45273</v>
      </c>
      <c r="B348" t="s">
        <v>8</v>
      </c>
      <c r="C348">
        <v>70.098843169999995</v>
      </c>
      <c r="D348">
        <v>1</v>
      </c>
      <c r="E348">
        <v>9.7956962450000002</v>
      </c>
      <c r="F348" t="s">
        <v>10</v>
      </c>
      <c r="G348">
        <f t="shared" si="27"/>
        <v>9.6666666666666661</v>
      </c>
      <c r="H348">
        <v>7</v>
      </c>
      <c r="I348">
        <f t="shared" si="28"/>
        <v>6.0608030271023772</v>
      </c>
      <c r="J348">
        <f t="shared" si="29"/>
        <v>28.434596459647967</v>
      </c>
      <c r="K348">
        <f t="shared" si="30"/>
        <v>83.559043039483868</v>
      </c>
      <c r="L348" s="6" t="str">
        <f t="shared" si="31"/>
        <v>Dec</v>
      </c>
    </row>
    <row r="349" spans="1:12" x14ac:dyDescent="0.25">
      <c r="A349" s="1">
        <v>45274</v>
      </c>
      <c r="B349" t="s">
        <v>6</v>
      </c>
      <c r="C349">
        <v>1086.9472949651399</v>
      </c>
      <c r="D349">
        <v>17</v>
      </c>
      <c r="E349">
        <v>317.12833931416998</v>
      </c>
      <c r="F349" t="s">
        <v>10</v>
      </c>
      <c r="G349">
        <f t="shared" si="27"/>
        <v>9.6666666666666661</v>
      </c>
      <c r="H349">
        <v>7</v>
      </c>
      <c r="I349">
        <f t="shared" si="28"/>
        <v>6.0608030271023772</v>
      </c>
      <c r="J349">
        <f t="shared" si="29"/>
        <v>28.434596459647967</v>
      </c>
      <c r="K349">
        <f t="shared" si="30"/>
        <v>83.559043039483868</v>
      </c>
      <c r="L349" s="6" t="str">
        <f t="shared" si="31"/>
        <v>Dec</v>
      </c>
    </row>
    <row r="350" spans="1:12" x14ac:dyDescent="0.25">
      <c r="A350" s="1">
        <v>45275</v>
      </c>
      <c r="B350" t="s">
        <v>6</v>
      </c>
      <c r="C350">
        <v>1239.0105781212201</v>
      </c>
      <c r="D350">
        <v>17</v>
      </c>
      <c r="E350">
        <v>300.290698702356</v>
      </c>
      <c r="F350" t="s">
        <v>9</v>
      </c>
      <c r="G350">
        <f t="shared" si="27"/>
        <v>9.6190476190476186</v>
      </c>
      <c r="H350">
        <v>7</v>
      </c>
      <c r="I350">
        <f t="shared" si="28"/>
        <v>6.0039669425821334</v>
      </c>
      <c r="J350">
        <f t="shared" si="29"/>
        <v>28.300957581993806</v>
      </c>
      <c r="K350">
        <f t="shared" si="30"/>
        <v>82.908466440717021</v>
      </c>
      <c r="L350" s="6" t="str">
        <f t="shared" si="31"/>
        <v>Dec</v>
      </c>
    </row>
    <row r="351" spans="1:12" x14ac:dyDescent="0.25">
      <c r="A351" s="1">
        <v>45276</v>
      </c>
      <c r="B351" t="s">
        <v>6</v>
      </c>
      <c r="C351">
        <v>979.93271749999997</v>
      </c>
      <c r="D351">
        <v>4</v>
      </c>
      <c r="E351">
        <v>385.602781852833</v>
      </c>
      <c r="F351" t="s">
        <v>11</v>
      </c>
      <c r="G351">
        <f t="shared" si="27"/>
        <v>9.1428571428571423</v>
      </c>
      <c r="H351">
        <v>7</v>
      </c>
      <c r="I351">
        <f t="shared" si="28"/>
        <v>5.7817446699565895</v>
      </c>
      <c r="J351">
        <f t="shared" si="29"/>
        <v>27.772273823615592</v>
      </c>
      <c r="K351">
        <f t="shared" si="30"/>
        <v>80.358618202744566</v>
      </c>
      <c r="L351" s="6" t="str">
        <f t="shared" si="31"/>
        <v>Dec</v>
      </c>
    </row>
    <row r="352" spans="1:12" x14ac:dyDescent="0.25">
      <c r="A352" s="1">
        <v>45277</v>
      </c>
      <c r="B352" t="s">
        <v>6</v>
      </c>
      <c r="C352">
        <v>852.313602841224</v>
      </c>
      <c r="D352">
        <v>17</v>
      </c>
      <c r="E352">
        <v>132.39034681739699</v>
      </c>
      <c r="F352" t="s">
        <v>10</v>
      </c>
      <c r="G352">
        <f t="shared" si="27"/>
        <v>9.7142857142857135</v>
      </c>
      <c r="H352">
        <v>7</v>
      </c>
      <c r="I352">
        <f t="shared" si="28"/>
        <v>5.8407435925818314</v>
      </c>
      <c r="J352">
        <f t="shared" si="29"/>
        <v>27.913613114561102</v>
      </c>
      <c r="K352">
        <f t="shared" si="30"/>
        <v>81.036566742329185</v>
      </c>
      <c r="L352" s="6" t="str">
        <f t="shared" si="31"/>
        <v>Dec</v>
      </c>
    </row>
    <row r="353" spans="1:12" x14ac:dyDescent="0.25">
      <c r="A353" s="1">
        <v>45278</v>
      </c>
      <c r="B353" t="s">
        <v>6</v>
      </c>
      <c r="C353">
        <v>1166.29219328728</v>
      </c>
      <c r="D353">
        <v>7</v>
      </c>
      <c r="E353">
        <v>239.97484993901199</v>
      </c>
      <c r="F353" t="s">
        <v>10</v>
      </c>
      <c r="G353">
        <f t="shared" si="27"/>
        <v>9.0476190476190474</v>
      </c>
      <c r="H353">
        <v>7</v>
      </c>
      <c r="I353">
        <f t="shared" si="28"/>
        <v>5.766074838884685</v>
      </c>
      <c r="J353">
        <f t="shared" si="29"/>
        <v>27.734613728954546</v>
      </c>
      <c r="K353">
        <f t="shared" si="30"/>
        <v>80.178437263572391</v>
      </c>
      <c r="L353" s="6" t="str">
        <f t="shared" si="31"/>
        <v>Dec</v>
      </c>
    </row>
    <row r="354" spans="1:12" x14ac:dyDescent="0.25">
      <c r="A354" s="1">
        <v>45279</v>
      </c>
      <c r="B354" t="s">
        <v>6</v>
      </c>
      <c r="C354">
        <v>1384.6407221080301</v>
      </c>
      <c r="D354">
        <v>19</v>
      </c>
      <c r="E354">
        <v>222.40692019093601</v>
      </c>
      <c r="F354" t="s">
        <v>11</v>
      </c>
      <c r="G354">
        <f t="shared" si="27"/>
        <v>8.9523809523809526</v>
      </c>
      <c r="H354">
        <v>7</v>
      </c>
      <c r="I354">
        <f t="shared" si="28"/>
        <v>5.8178706626753955</v>
      </c>
      <c r="J354">
        <f t="shared" si="29"/>
        <v>27.858903264083356</v>
      </c>
      <c r="K354">
        <f t="shared" si="30"/>
        <v>80.773822148416713</v>
      </c>
      <c r="L354" s="6" t="str">
        <f t="shared" si="31"/>
        <v>Dec</v>
      </c>
    </row>
    <row r="355" spans="1:12" x14ac:dyDescent="0.25">
      <c r="A355" s="1">
        <v>45280</v>
      </c>
      <c r="B355" t="s">
        <v>6</v>
      </c>
      <c r="C355">
        <v>1205.6769238895199</v>
      </c>
      <c r="D355">
        <v>19</v>
      </c>
      <c r="E355">
        <v>289.25681833369299</v>
      </c>
      <c r="F355" t="s">
        <v>11</v>
      </c>
      <c r="G355">
        <f t="shared" si="27"/>
        <v>8.8095238095238102</v>
      </c>
      <c r="H355">
        <v>7</v>
      </c>
      <c r="I355">
        <f t="shared" si="28"/>
        <v>5.5912346366348071</v>
      </c>
      <c r="J355">
        <f t="shared" si="29"/>
        <v>27.310889377932657</v>
      </c>
      <c r="K355">
        <f t="shared" si="30"/>
        <v>78.164499644468279</v>
      </c>
      <c r="L355" s="6" t="str">
        <f t="shared" si="31"/>
        <v>Dec</v>
      </c>
    </row>
    <row r="356" spans="1:12" x14ac:dyDescent="0.25">
      <c r="A356" s="1">
        <v>45281</v>
      </c>
      <c r="B356" t="s">
        <v>6</v>
      </c>
      <c r="C356">
        <v>1703.0962158437801</v>
      </c>
      <c r="D356">
        <v>11</v>
      </c>
      <c r="E356">
        <v>186.899876102501</v>
      </c>
      <c r="F356" t="s">
        <v>7</v>
      </c>
      <c r="G356">
        <f t="shared" si="27"/>
        <v>8.7619047619047628</v>
      </c>
      <c r="H356">
        <v>7</v>
      </c>
      <c r="I356">
        <f t="shared" si="28"/>
        <v>5.503678423606905</v>
      </c>
      <c r="J356">
        <f t="shared" si="29"/>
        <v>27.096207500408983</v>
      </c>
      <c r="K356">
        <f t="shared" si="30"/>
        <v>77.15347316273845</v>
      </c>
      <c r="L356" s="6" t="str">
        <f t="shared" si="31"/>
        <v>Dec</v>
      </c>
    </row>
    <row r="357" spans="1:12" x14ac:dyDescent="0.25">
      <c r="A357" s="1">
        <v>45282</v>
      </c>
      <c r="B357" t="s">
        <v>6</v>
      </c>
      <c r="C357">
        <v>750.25264653081001</v>
      </c>
      <c r="D357">
        <v>2</v>
      </c>
      <c r="E357">
        <v>274.34325951622202</v>
      </c>
      <c r="F357" t="s">
        <v>10</v>
      </c>
      <c r="G357">
        <f t="shared" si="27"/>
        <v>8.5238095238095237</v>
      </c>
      <c r="H357">
        <v>7</v>
      </c>
      <c r="I357">
        <f t="shared" si="28"/>
        <v>5.5101637690639249</v>
      </c>
      <c r="J357">
        <f t="shared" si="29"/>
        <v>27.11216741986059</v>
      </c>
      <c r="K357">
        <f t="shared" si="30"/>
        <v>77.228418843251518</v>
      </c>
      <c r="L357" s="6" t="str">
        <f t="shared" si="31"/>
        <v>Dec</v>
      </c>
    </row>
    <row r="358" spans="1:12" x14ac:dyDescent="0.25">
      <c r="A358" s="1">
        <v>45283</v>
      </c>
      <c r="B358" t="s">
        <v>6</v>
      </c>
      <c r="C358">
        <v>887.60380965650495</v>
      </c>
      <c r="D358">
        <v>2</v>
      </c>
      <c r="E358">
        <v>355.00138049999998</v>
      </c>
      <c r="F358" t="s">
        <v>9</v>
      </c>
      <c r="G358">
        <f t="shared" si="27"/>
        <v>9</v>
      </c>
      <c r="H358">
        <v>7</v>
      </c>
      <c r="I358">
        <f t="shared" si="28"/>
        <v>5.347896782848375</v>
      </c>
      <c r="J358">
        <f t="shared" si="29"/>
        <v>26.709975675277768</v>
      </c>
      <c r="K358">
        <f t="shared" si="30"/>
        <v>75.350370224041555</v>
      </c>
      <c r="L358" s="6" t="str">
        <f t="shared" si="31"/>
        <v>Dec</v>
      </c>
    </row>
    <row r="359" spans="1:12" x14ac:dyDescent="0.25">
      <c r="A359" s="1">
        <v>45284</v>
      </c>
      <c r="B359" t="s">
        <v>6</v>
      </c>
      <c r="C359">
        <v>1212.4493364400701</v>
      </c>
      <c r="D359">
        <v>8</v>
      </c>
      <c r="E359">
        <v>209.82466551493499</v>
      </c>
      <c r="F359" t="s">
        <v>11</v>
      </c>
      <c r="G359">
        <f t="shared" si="27"/>
        <v>9.2857142857142865</v>
      </c>
      <c r="H359">
        <v>7</v>
      </c>
      <c r="I359">
        <f t="shared" si="28"/>
        <v>5.1102138618932287</v>
      </c>
      <c r="J359">
        <f t="shared" si="29"/>
        <v>26.109678372419896</v>
      </c>
      <c r="K359">
        <f t="shared" si="30"/>
        <v>72.588290163924981</v>
      </c>
      <c r="L359" s="6" t="str">
        <f t="shared" si="31"/>
        <v>Dec</v>
      </c>
    </row>
    <row r="360" spans="1:12" x14ac:dyDescent="0.25">
      <c r="A360" s="1">
        <v>45285</v>
      </c>
      <c r="B360" t="s">
        <v>6</v>
      </c>
      <c r="C360">
        <v>653.952272204564</v>
      </c>
      <c r="D360">
        <v>4</v>
      </c>
      <c r="E360">
        <v>79.2077512360094</v>
      </c>
      <c r="F360" t="s">
        <v>11</v>
      </c>
      <c r="G360">
        <f t="shared" si="27"/>
        <v>9.6190476190476186</v>
      </c>
      <c r="H360">
        <v>7</v>
      </c>
      <c r="I360">
        <f t="shared" si="28"/>
        <v>5.2485825750976849</v>
      </c>
      <c r="J360">
        <f t="shared" si="29"/>
        <v>26.460801895907629</v>
      </c>
      <c r="K360">
        <f t="shared" si="30"/>
        <v>74.197910078938946</v>
      </c>
      <c r="L360" s="6" t="str">
        <f t="shared" si="31"/>
        <v>Dec</v>
      </c>
    </row>
    <row r="361" spans="1:12" x14ac:dyDescent="0.25">
      <c r="A361" s="1">
        <v>45286</v>
      </c>
      <c r="B361" t="s">
        <v>6</v>
      </c>
      <c r="C361">
        <v>1000.67162527729</v>
      </c>
      <c r="D361">
        <v>19</v>
      </c>
      <c r="E361">
        <v>282.20426889994502</v>
      </c>
      <c r="F361" t="s">
        <v>11</v>
      </c>
      <c r="G361">
        <f t="shared" si="27"/>
        <v>9.7619047619047628</v>
      </c>
      <c r="H361">
        <v>7</v>
      </c>
      <c r="I361">
        <f t="shared" si="28"/>
        <v>5.1274239331730893</v>
      </c>
      <c r="J361">
        <f t="shared" si="29"/>
        <v>26.153607231988534</v>
      </c>
      <c r="K361">
        <f t="shared" si="30"/>
        <v>72.788748719419971</v>
      </c>
      <c r="L361" s="6" t="str">
        <f t="shared" si="31"/>
        <v>Dec</v>
      </c>
    </row>
    <row r="362" spans="1:12" x14ac:dyDescent="0.25">
      <c r="A362" s="1">
        <v>45287</v>
      </c>
      <c r="B362" t="s">
        <v>6</v>
      </c>
      <c r="C362">
        <v>1268.4031427314301</v>
      </c>
      <c r="D362">
        <v>10</v>
      </c>
      <c r="E362">
        <v>306.823140931887</v>
      </c>
      <c r="F362" t="s">
        <v>10</v>
      </c>
      <c r="G362">
        <f t="shared" si="27"/>
        <v>9.1904761904761898</v>
      </c>
      <c r="H362">
        <v>7</v>
      </c>
      <c r="I362">
        <f t="shared" si="28"/>
        <v>4.6970101939323872</v>
      </c>
      <c r="J362">
        <f t="shared" si="29"/>
        <v>25.031837775042909</v>
      </c>
      <c r="K362">
        <f t="shared" si="30"/>
        <v>67.752263824618439</v>
      </c>
      <c r="L362" s="6" t="str">
        <f t="shared" si="31"/>
        <v>Dec</v>
      </c>
    </row>
    <row r="363" spans="1:12" x14ac:dyDescent="0.25">
      <c r="A363" s="1">
        <v>45288</v>
      </c>
      <c r="B363" t="s">
        <v>6</v>
      </c>
      <c r="C363">
        <v>1321.3071839082299</v>
      </c>
      <c r="D363">
        <v>8</v>
      </c>
      <c r="E363">
        <v>450.77447115768899</v>
      </c>
      <c r="F363" t="s">
        <v>11</v>
      </c>
      <c r="G363">
        <f t="shared" si="27"/>
        <v>8.8095238095238102</v>
      </c>
      <c r="H363">
        <v>7</v>
      </c>
      <c r="I363">
        <f t="shared" si="28"/>
        <v>4.945897771072989</v>
      </c>
      <c r="J363">
        <f t="shared" si="29"/>
        <v>25.686477520391239</v>
      </c>
      <c r="K363">
        <f t="shared" si="30"/>
        <v>70.670595343007477</v>
      </c>
      <c r="L363" s="6" t="str">
        <f t="shared" si="31"/>
        <v>Dec</v>
      </c>
    </row>
    <row r="364" spans="1:12" x14ac:dyDescent="0.25">
      <c r="A364" s="1">
        <v>45289</v>
      </c>
      <c r="B364" t="s">
        <v>6</v>
      </c>
      <c r="C364">
        <v>1310.7653984660701</v>
      </c>
      <c r="D364">
        <v>11</v>
      </c>
      <c r="E364">
        <v>407.59552367435703</v>
      </c>
      <c r="F364" t="s">
        <v>9</v>
      </c>
      <c r="G364">
        <f t="shared" si="27"/>
        <v>8.7619047619047628</v>
      </c>
      <c r="H364">
        <v>7</v>
      </c>
      <c r="I364">
        <f t="shared" si="28"/>
        <v>4.9588785214477875</v>
      </c>
      <c r="J364">
        <f t="shared" si="29"/>
        <v>25.720163140179309</v>
      </c>
      <c r="K364">
        <f t="shared" si="30"/>
        <v>70.822343978109188</v>
      </c>
      <c r="L364" s="6" t="str">
        <f t="shared" si="31"/>
        <v>Dec</v>
      </c>
    </row>
    <row r="365" spans="1:12" x14ac:dyDescent="0.25">
      <c r="A365" s="1">
        <v>45290</v>
      </c>
      <c r="B365" t="s">
        <v>6</v>
      </c>
      <c r="C365">
        <v>1043.47239079927</v>
      </c>
      <c r="D365">
        <v>5</v>
      </c>
      <c r="E365">
        <v>113.51918706319</v>
      </c>
      <c r="F365" t="s">
        <v>11</v>
      </c>
      <c r="G365">
        <f t="shared" si="27"/>
        <v>8.3333333333333339</v>
      </c>
      <c r="H365">
        <v>7</v>
      </c>
      <c r="I365">
        <f t="shared" si="28"/>
        <v>5.1413357538030269</v>
      </c>
      <c r="J365">
        <f t="shared" si="29"/>
        <v>26.189063421525944</v>
      </c>
      <c r="K365">
        <f t="shared" si="30"/>
        <v>72.9507362299249</v>
      </c>
      <c r="L365" s="6" t="str">
        <f t="shared" si="31"/>
        <v>Dec</v>
      </c>
    </row>
    <row r="366" spans="1:12" x14ac:dyDescent="0.25">
      <c r="A366" s="1">
        <v>45291</v>
      </c>
      <c r="B366" t="s">
        <v>6</v>
      </c>
      <c r="C366">
        <v>1150.68736761471</v>
      </c>
      <c r="D366">
        <v>7</v>
      </c>
      <c r="E366">
        <v>260.57701466835101</v>
      </c>
      <c r="F366" t="s">
        <v>10</v>
      </c>
      <c r="G366">
        <f t="shared" si="27"/>
        <v>8.3809523809523814</v>
      </c>
      <c r="H366">
        <v>7</v>
      </c>
      <c r="I366">
        <f t="shared" si="28"/>
        <v>5.1134742639050259</v>
      </c>
      <c r="J366">
        <f t="shared" si="29"/>
        <v>26.118006250297707</v>
      </c>
      <c r="K366">
        <f t="shared" si="30"/>
        <v>72.626272174386273</v>
      </c>
      <c r="L366" s="6" t="str">
        <f t="shared" si="31"/>
        <v>Dec</v>
      </c>
    </row>
    <row r="367" spans="1:12" x14ac:dyDescent="0.25">
      <c r="A367" s="1">
        <v>45292</v>
      </c>
      <c r="B367" t="s">
        <v>6</v>
      </c>
      <c r="C367">
        <v>833.36656214049901</v>
      </c>
      <c r="D367">
        <v>7</v>
      </c>
      <c r="E367">
        <v>313.53854745817</v>
      </c>
      <c r="F367" t="s">
        <v>11</v>
      </c>
      <c r="G367">
        <f t="shared" si="27"/>
        <v>8.0952380952380949</v>
      </c>
      <c r="H367">
        <v>7</v>
      </c>
      <c r="I367">
        <f t="shared" si="28"/>
        <v>5.3563491475515477</v>
      </c>
      <c r="J367">
        <f t="shared" si="29"/>
        <v>26.731074934544726</v>
      </c>
      <c r="K367">
        <f t="shared" si="30"/>
        <v>75.448345752751663</v>
      </c>
      <c r="L367" s="6" t="str">
        <f t="shared" si="31"/>
        <v>Jan</v>
      </c>
    </row>
    <row r="368" spans="1:12" x14ac:dyDescent="0.25">
      <c r="A368" s="1">
        <v>45293</v>
      </c>
      <c r="B368" t="s">
        <v>8</v>
      </c>
      <c r="C368">
        <v>1006.55972265466</v>
      </c>
      <c r="D368">
        <v>8</v>
      </c>
      <c r="E368">
        <v>389.04225379341801</v>
      </c>
      <c r="F368" t="s">
        <v>10</v>
      </c>
      <c r="G368">
        <f t="shared" si="27"/>
        <v>8.4285714285714288</v>
      </c>
      <c r="H368">
        <v>7</v>
      </c>
      <c r="I368">
        <f t="shared" si="28"/>
        <v>5.5006493123214879</v>
      </c>
      <c r="J368">
        <f t="shared" si="29"/>
        <v>27.088749876784036</v>
      </c>
      <c r="K368">
        <f t="shared" si="30"/>
        <v>77.11846505075566</v>
      </c>
      <c r="L368" s="6" t="str">
        <f t="shared" si="31"/>
        <v>Jan</v>
      </c>
    </row>
    <row r="369" spans="1:12" x14ac:dyDescent="0.25">
      <c r="A369" s="1">
        <v>45294</v>
      </c>
      <c r="B369" t="s">
        <v>6</v>
      </c>
      <c r="C369">
        <v>629.64640047328101</v>
      </c>
      <c r="D369">
        <v>1</v>
      </c>
      <c r="E369">
        <v>219.78491738458101</v>
      </c>
      <c r="F369" t="s">
        <v>11</v>
      </c>
      <c r="G369">
        <f t="shared" si="27"/>
        <v>8.4499999999999993</v>
      </c>
      <c r="H369">
        <v>7</v>
      </c>
      <c r="I369">
        <f t="shared" si="28"/>
        <v>5.6426477547522431</v>
      </c>
      <c r="J369">
        <f t="shared" si="29"/>
        <v>27.436168047002045</v>
      </c>
      <c r="K369">
        <f t="shared" si="30"/>
        <v>78.757392864034344</v>
      </c>
      <c r="L369" s="6" t="str">
        <f t="shared" si="31"/>
        <v>Jan</v>
      </c>
    </row>
    <row r="370" spans="1:12" x14ac:dyDescent="0.25">
      <c r="A370" s="1">
        <v>45295</v>
      </c>
      <c r="B370" t="s">
        <v>8</v>
      </c>
      <c r="C370">
        <v>635.67469786672996</v>
      </c>
      <c r="D370">
        <v>16</v>
      </c>
      <c r="E370">
        <v>192.761363693356</v>
      </c>
      <c r="F370" t="s">
        <v>7</v>
      </c>
      <c r="G370">
        <f t="shared" si="27"/>
        <v>8.8421052631578956</v>
      </c>
      <c r="H370">
        <v>7</v>
      </c>
      <c r="I370">
        <f t="shared" si="28"/>
        <v>5.510224414614636</v>
      </c>
      <c r="J370">
        <f t="shared" si="29"/>
        <v>27.112316619400655</v>
      </c>
      <c r="K370">
        <f t="shared" si="30"/>
        <v>77.229119628514724</v>
      </c>
      <c r="L370" s="6" t="str">
        <f t="shared" si="31"/>
        <v>Jan</v>
      </c>
    </row>
    <row r="371" spans="1:12" x14ac:dyDescent="0.25">
      <c r="A371" s="1">
        <v>45296</v>
      </c>
      <c r="B371" t="s">
        <v>6</v>
      </c>
      <c r="C371">
        <v>1076.65532699241</v>
      </c>
      <c r="D371">
        <v>7</v>
      </c>
      <c r="E371">
        <v>198.02929963599601</v>
      </c>
      <c r="F371" t="s">
        <v>10</v>
      </c>
      <c r="G371">
        <f t="shared" si="27"/>
        <v>8.4444444444444446</v>
      </c>
      <c r="H371">
        <v>7</v>
      </c>
      <c r="I371">
        <f t="shared" si="28"/>
        <v>5.3821297142894933</v>
      </c>
      <c r="J371">
        <f t="shared" si="29"/>
        <v>26.795327189838606</v>
      </c>
      <c r="K371">
        <f t="shared" si="30"/>
        <v>75.747078400757331</v>
      </c>
      <c r="L371" s="6" t="str">
        <f t="shared" si="31"/>
        <v>Jan</v>
      </c>
    </row>
    <row r="372" spans="1:12" x14ac:dyDescent="0.25">
      <c r="A372" s="1">
        <v>45297</v>
      </c>
      <c r="B372" t="s">
        <v>6</v>
      </c>
      <c r="C372">
        <v>1249.4912676854699</v>
      </c>
      <c r="D372">
        <v>16</v>
      </c>
      <c r="E372">
        <v>458.03823918189198</v>
      </c>
      <c r="F372" t="s">
        <v>11</v>
      </c>
      <c r="G372">
        <f t="shared" si="27"/>
        <v>8.5294117647058822</v>
      </c>
      <c r="H372">
        <v>7</v>
      </c>
      <c r="I372">
        <f t="shared" si="28"/>
        <v>5.5353144339190834</v>
      </c>
      <c r="J372">
        <f t="shared" si="29"/>
        <v>27.173972543058376</v>
      </c>
      <c r="K372">
        <f t="shared" si="30"/>
        <v>77.518975251560505</v>
      </c>
      <c r="L372" s="6" t="str">
        <f t="shared" si="31"/>
        <v>Jan</v>
      </c>
    </row>
    <row r="373" spans="1:12" x14ac:dyDescent="0.25">
      <c r="A373" s="1">
        <v>45298</v>
      </c>
      <c r="B373" t="s">
        <v>6</v>
      </c>
      <c r="C373">
        <v>1165.8273234954099</v>
      </c>
      <c r="D373">
        <v>3</v>
      </c>
      <c r="E373">
        <v>234.219043853324</v>
      </c>
      <c r="F373" t="s">
        <v>11</v>
      </c>
      <c r="G373">
        <f t="shared" si="27"/>
        <v>8.0625</v>
      </c>
      <c r="H373">
        <v>7</v>
      </c>
      <c r="I373">
        <f t="shared" si="28"/>
        <v>5.3599595769620008</v>
      </c>
      <c r="J373">
        <f t="shared" si="29"/>
        <v>26.740082413217671</v>
      </c>
      <c r="K373">
        <f t="shared" si="30"/>
        <v>75.490190946538718</v>
      </c>
      <c r="L373" s="6" t="str">
        <f t="shared" si="31"/>
        <v>Jan</v>
      </c>
    </row>
    <row r="374" spans="1:12" x14ac:dyDescent="0.25">
      <c r="A374" s="1">
        <v>45299</v>
      </c>
      <c r="B374" t="s">
        <v>8</v>
      </c>
      <c r="C374">
        <v>901.30949980000003</v>
      </c>
      <c r="D374">
        <v>5</v>
      </c>
      <c r="E374">
        <v>346.345784990808</v>
      </c>
      <c r="F374" t="s">
        <v>11</v>
      </c>
      <c r="G374">
        <f t="shared" si="27"/>
        <v>8.4</v>
      </c>
      <c r="H374">
        <v>7</v>
      </c>
      <c r="I374">
        <f t="shared" si="28"/>
        <v>5.3692244717995745</v>
      </c>
      <c r="J374">
        <f t="shared" si="29"/>
        <v>26.763183061796713</v>
      </c>
      <c r="K374">
        <f t="shared" si="30"/>
        <v>75.597558019592839</v>
      </c>
      <c r="L374" s="6" t="str">
        <f t="shared" si="31"/>
        <v>Jan</v>
      </c>
    </row>
    <row r="375" spans="1:12" x14ac:dyDescent="0.25">
      <c r="A375" s="1">
        <v>45300</v>
      </c>
      <c r="B375" t="s">
        <v>6</v>
      </c>
      <c r="C375">
        <v>1616.3465320985699</v>
      </c>
      <c r="D375">
        <v>16</v>
      </c>
      <c r="E375">
        <v>504.91800643596599</v>
      </c>
      <c r="F375" t="s">
        <v>10</v>
      </c>
      <c r="G375">
        <f t="shared" si="27"/>
        <v>8.6428571428571423</v>
      </c>
      <c r="H375">
        <v>7</v>
      </c>
      <c r="I375">
        <f t="shared" si="28"/>
        <v>5.4857457645616972</v>
      </c>
      <c r="J375">
        <f t="shared" si="29"/>
        <v>27.052027638551269</v>
      </c>
      <c r="K375">
        <f t="shared" si="30"/>
        <v>76.946191497183847</v>
      </c>
      <c r="L375" s="6" t="str">
        <f t="shared" si="31"/>
        <v>Jan</v>
      </c>
    </row>
    <row r="376" spans="1:12" x14ac:dyDescent="0.25">
      <c r="A376" s="1">
        <v>45301</v>
      </c>
      <c r="B376" t="s">
        <v>8</v>
      </c>
      <c r="C376">
        <v>1025.9290567262599</v>
      </c>
      <c r="D376">
        <v>18</v>
      </c>
      <c r="E376">
        <v>410.20785185085703</v>
      </c>
      <c r="F376" t="s">
        <v>10</v>
      </c>
      <c r="G376">
        <f t="shared" si="27"/>
        <v>8.0769230769230766</v>
      </c>
      <c r="H376">
        <v>7</v>
      </c>
      <c r="I376">
        <f t="shared" si="28"/>
        <v>5.2672184066725141</v>
      </c>
      <c r="J376">
        <f t="shared" si="29"/>
        <v>26.50773667245338</v>
      </c>
      <c r="K376">
        <f t="shared" si="30"/>
        <v>74.414342180760528</v>
      </c>
      <c r="L376" s="6" t="str">
        <f t="shared" si="31"/>
        <v>Jan</v>
      </c>
    </row>
    <row r="377" spans="1:12" x14ac:dyDescent="0.25">
      <c r="A377" s="1">
        <v>45302</v>
      </c>
      <c r="B377" t="s">
        <v>6</v>
      </c>
      <c r="C377">
        <v>582.41248571448</v>
      </c>
      <c r="D377">
        <v>6</v>
      </c>
      <c r="E377">
        <v>177.96221314303301</v>
      </c>
      <c r="F377" t="s">
        <v>7</v>
      </c>
      <c r="G377">
        <f t="shared" si="27"/>
        <v>7.25</v>
      </c>
      <c r="H377">
        <v>7</v>
      </c>
      <c r="I377">
        <f t="shared" si="28"/>
        <v>4.535215741084631</v>
      </c>
      <c r="J377">
        <f t="shared" si="29"/>
        <v>24.596933099474871</v>
      </c>
      <c r="K377">
        <f t="shared" si="30"/>
        <v>65.845800077911278</v>
      </c>
      <c r="L377" s="6" t="str">
        <f t="shared" si="31"/>
        <v>Jan</v>
      </c>
    </row>
    <row r="378" spans="1:12" x14ac:dyDescent="0.25">
      <c r="A378" s="1">
        <v>45303</v>
      </c>
      <c r="B378" t="s">
        <v>8</v>
      </c>
      <c r="C378">
        <v>1511.2306234177299</v>
      </c>
      <c r="D378">
        <v>12</v>
      </c>
      <c r="E378">
        <v>464.4491688</v>
      </c>
      <c r="F378" t="s">
        <v>10</v>
      </c>
      <c r="G378">
        <f t="shared" si="27"/>
        <v>7.3636363636363633</v>
      </c>
      <c r="H378">
        <v>7</v>
      </c>
      <c r="I378">
        <f t="shared" si="28"/>
        <v>4.7386227381535084</v>
      </c>
      <c r="J378">
        <f t="shared" si="29"/>
        <v>25.142476406005102</v>
      </c>
      <c r="K378">
        <f t="shared" si="30"/>
        <v>68.241378453020346</v>
      </c>
      <c r="L378" s="6" t="str">
        <f t="shared" si="31"/>
        <v>Jan</v>
      </c>
    </row>
    <row r="379" spans="1:12" x14ac:dyDescent="0.25">
      <c r="A379" s="1">
        <v>45304</v>
      </c>
      <c r="B379" t="s">
        <v>6</v>
      </c>
      <c r="C379">
        <v>1241.6781504985499</v>
      </c>
      <c r="D379">
        <v>8</v>
      </c>
      <c r="E379">
        <v>344.87367727171801</v>
      </c>
      <c r="F379" t="s">
        <v>10</v>
      </c>
      <c r="G379">
        <f t="shared" si="27"/>
        <v>6.9</v>
      </c>
      <c r="H379">
        <v>7</v>
      </c>
      <c r="I379">
        <f t="shared" si="28"/>
        <v>4.7246399039738698</v>
      </c>
      <c r="J379">
        <f t="shared" si="29"/>
        <v>25.105353508562157</v>
      </c>
      <c r="K379">
        <f t="shared" si="30"/>
        <v>68.077078349467357</v>
      </c>
      <c r="L379" s="6" t="str">
        <f t="shared" si="31"/>
        <v>Jan</v>
      </c>
    </row>
    <row r="380" spans="1:12" x14ac:dyDescent="0.25">
      <c r="A380" s="1">
        <v>45305</v>
      </c>
      <c r="B380" t="s">
        <v>8</v>
      </c>
      <c r="C380">
        <v>651.45667709156805</v>
      </c>
      <c r="D380">
        <v>15</v>
      </c>
      <c r="E380">
        <v>103.224709486164</v>
      </c>
      <c r="F380" t="s">
        <v>11</v>
      </c>
      <c r="G380">
        <f t="shared" si="27"/>
        <v>6.7777777777777777</v>
      </c>
      <c r="H380">
        <v>7</v>
      </c>
      <c r="I380">
        <f t="shared" si="28"/>
        <v>4.9944413545905659</v>
      </c>
      <c r="J380">
        <f t="shared" si="29"/>
        <v>25.812225064991352</v>
      </c>
      <c r="K380">
        <f t="shared" si="30"/>
        <v>71.237858337696025</v>
      </c>
      <c r="L380" s="6" t="str">
        <f t="shared" si="31"/>
        <v>Jan</v>
      </c>
    </row>
    <row r="381" spans="1:12" x14ac:dyDescent="0.25">
      <c r="A381" s="1">
        <v>45306</v>
      </c>
      <c r="B381" t="s">
        <v>6</v>
      </c>
      <c r="C381">
        <v>680.96098986329798</v>
      </c>
      <c r="D381">
        <v>7</v>
      </c>
      <c r="E381">
        <v>113.403053693863</v>
      </c>
      <c r="F381" t="s">
        <v>7</v>
      </c>
      <c r="G381">
        <f t="shared" si="27"/>
        <v>5.75</v>
      </c>
      <c r="H381">
        <v>7</v>
      </c>
      <c r="I381">
        <f t="shared" si="28"/>
        <v>4.2003401222826158</v>
      </c>
      <c r="J381">
        <f t="shared" si="29"/>
        <v>23.671414684441793</v>
      </c>
      <c r="K381">
        <f t="shared" si="30"/>
        <v>61.874508177583678</v>
      </c>
      <c r="L381" s="6" t="str">
        <f t="shared" si="31"/>
        <v>Jan</v>
      </c>
    </row>
    <row r="382" spans="1:12" x14ac:dyDescent="0.25">
      <c r="A382" s="1">
        <v>45307</v>
      </c>
      <c r="B382" t="s">
        <v>8</v>
      </c>
      <c r="C382">
        <v>369.12948069999999</v>
      </c>
      <c r="D382">
        <v>7</v>
      </c>
      <c r="E382">
        <v>45.779076727529997</v>
      </c>
      <c r="F382" t="s">
        <v>10</v>
      </c>
      <c r="G382">
        <f t="shared" si="27"/>
        <v>5.5714285714285712</v>
      </c>
      <c r="H382">
        <v>7</v>
      </c>
      <c r="I382">
        <f t="shared" si="28"/>
        <v>4.503966505838414</v>
      </c>
      <c r="J382">
        <f t="shared" si="29"/>
        <v>24.512045850869097</v>
      </c>
      <c r="K382">
        <f t="shared" si="30"/>
        <v>65.476693594447056</v>
      </c>
      <c r="L382" s="6" t="str">
        <f t="shared" si="31"/>
        <v>Jan</v>
      </c>
    </row>
    <row r="383" spans="1:12" x14ac:dyDescent="0.25">
      <c r="A383" s="1">
        <v>45308</v>
      </c>
      <c r="B383" t="s">
        <v>6</v>
      </c>
      <c r="C383">
        <v>1213.60951629651</v>
      </c>
      <c r="D383">
        <v>2</v>
      </c>
      <c r="E383">
        <v>203.52155727456901</v>
      </c>
      <c r="F383" t="s">
        <v>9</v>
      </c>
      <c r="G383">
        <f t="shared" si="27"/>
        <v>5.333333333333333</v>
      </c>
      <c r="H383">
        <v>7</v>
      </c>
      <c r="I383">
        <f t="shared" si="28"/>
        <v>4.8853522561496696</v>
      </c>
      <c r="J383">
        <f t="shared" si="29"/>
        <v>25.528772088586752</v>
      </c>
      <c r="K383">
        <f t="shared" si="30"/>
        <v>69.962214037376597</v>
      </c>
      <c r="L383" s="6" t="str">
        <f t="shared" si="31"/>
        <v>Jan</v>
      </c>
    </row>
    <row r="384" spans="1:12" x14ac:dyDescent="0.25">
      <c r="A384" s="1">
        <v>45309</v>
      </c>
      <c r="B384" t="s">
        <v>8</v>
      </c>
      <c r="C384">
        <v>1171.44842093906</v>
      </c>
      <c r="D384">
        <v>7</v>
      </c>
      <c r="E384">
        <v>140.57140780987999</v>
      </c>
      <c r="F384" t="s">
        <v>7</v>
      </c>
      <c r="G384">
        <f t="shared" si="27"/>
        <v>6</v>
      </c>
      <c r="H384">
        <v>7</v>
      </c>
      <c r="I384">
        <f t="shared" si="28"/>
        <v>5.1478150704935004</v>
      </c>
      <c r="J384">
        <f t="shared" si="29"/>
        <v>26.205560477530508</v>
      </c>
      <c r="K384">
        <f t="shared" si="30"/>
        <v>73.026164213923778</v>
      </c>
      <c r="L384" s="6" t="str">
        <f t="shared" si="31"/>
        <v>Jan</v>
      </c>
    </row>
    <row r="385" spans="1:12" x14ac:dyDescent="0.25">
      <c r="A385" s="1">
        <v>45310</v>
      </c>
      <c r="B385" t="s">
        <v>6</v>
      </c>
      <c r="C385">
        <v>782.92602290797095</v>
      </c>
      <c r="D385">
        <v>2</v>
      </c>
      <c r="E385">
        <v>220.857116671797</v>
      </c>
      <c r="F385" t="s">
        <v>10</v>
      </c>
      <c r="G385">
        <f t="shared" si="27"/>
        <v>5.75</v>
      </c>
      <c r="H385">
        <v>7</v>
      </c>
      <c r="I385">
        <f t="shared" si="28"/>
        <v>5.9090326337452783</v>
      </c>
      <c r="J385">
        <f t="shared" si="29"/>
        <v>28.076319664856438</v>
      </c>
      <c r="K385">
        <f t="shared" si="30"/>
        <v>81.82037838130158</v>
      </c>
      <c r="L385" s="6" t="str">
        <f t="shared" si="31"/>
        <v>Jan</v>
      </c>
    </row>
    <row r="386" spans="1:12" x14ac:dyDescent="0.25">
      <c r="A386" s="1">
        <v>45311</v>
      </c>
      <c r="B386" t="s">
        <v>8</v>
      </c>
      <c r="C386">
        <v>999.84324289959102</v>
      </c>
      <c r="D386">
        <v>6</v>
      </c>
      <c r="E386">
        <v>341.43651917442298</v>
      </c>
      <c r="F386" t="s">
        <v>7</v>
      </c>
      <c r="G386">
        <f>AVERAGE(D386:D406)</f>
        <v>7</v>
      </c>
      <c r="H386">
        <v>7</v>
      </c>
      <c r="I386">
        <f>STDEV(D386:D406)</f>
        <v>6.5574385243020004</v>
      </c>
      <c r="J386">
        <f>1.65 * $H$2 * SQRT(I386)</f>
        <v>29.576657903458219</v>
      </c>
      <c r="K386">
        <f>($G$2 * I386) + J386</f>
        <v>89.21812257687165</v>
      </c>
      <c r="L386" s="6" t="str">
        <f t="shared" si="31"/>
        <v>Jan</v>
      </c>
    </row>
    <row r="387" spans="1:12" x14ac:dyDescent="0.25">
      <c r="A387" s="1">
        <v>45312</v>
      </c>
      <c r="B387" t="s">
        <v>6</v>
      </c>
      <c r="C387">
        <v>1250.68240753599</v>
      </c>
      <c r="D387">
        <v>1</v>
      </c>
      <c r="E387">
        <v>128.25582196536101</v>
      </c>
      <c r="F387" t="s">
        <v>10</v>
      </c>
      <c r="G387">
        <f>AVERAGE(D387:D407)</f>
        <v>7.5</v>
      </c>
      <c r="H387">
        <v>7</v>
      </c>
      <c r="I387">
        <f>STDEV(D387:D407)</f>
        <v>9.1923881554251174</v>
      </c>
      <c r="J387">
        <f>1.65 * $H$2 * SQRT(I387)</f>
        <v>35.01838889646551</v>
      </c>
      <c r="K387">
        <f>($G$2 * I387) + J387</f>
        <v>118.62534783390348</v>
      </c>
      <c r="L387" s="6" t="str">
        <f t="shared" si="31"/>
        <v>Jan</v>
      </c>
    </row>
    <row r="388" spans="1:12" x14ac:dyDescent="0.25">
      <c r="A388" s="1">
        <v>45313</v>
      </c>
      <c r="B388" t="s">
        <v>6</v>
      </c>
      <c r="C388">
        <v>1132.74900387037</v>
      </c>
      <c r="D388">
        <v>14</v>
      </c>
      <c r="E388">
        <v>353.464221248873</v>
      </c>
      <c r="F388" t="s">
        <v>11</v>
      </c>
      <c r="G388">
        <f>AVERAGE(D368:D388)</f>
        <v>8.4285714285714288</v>
      </c>
      <c r="H388">
        <v>7</v>
      </c>
      <c r="I388">
        <f>STDEV(D368:D388)</f>
        <v>5.5006493123214879</v>
      </c>
      <c r="J388">
        <f>1.65 * $H$2 * SQRT(I388)</f>
        <v>27.088749876784036</v>
      </c>
      <c r="K388">
        <f>($G$2 * I388) + J388</f>
        <v>77.11846505075566</v>
      </c>
      <c r="L388" s="6" t="str">
        <f t="shared" si="31"/>
        <v>Jan</v>
      </c>
    </row>
  </sheetData>
  <pageMargins left="0.7" right="0.7" top="0.75" bottom="0.75" header="0.3" footer="0.3"/>
  <pageSetup orientation="portrait" r:id="rId1"/>
  <ignoredErrors>
    <ignoredError sqref="A2:K387 A388:F388 H388 J388:K388" formulaRange="1"/>
  </ignoredErrors>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Views>
    <sheetView workbookViewId="0">
      <selection activeCell="B7" sqref="B7"/>
    </sheetView>
  </sheetViews>
  <sheetFormatPr defaultRowHeight="15" x14ac:dyDescent="0.25"/>
  <cols>
    <col min="1" max="1" width="13.140625" bestFit="1" customWidth="1"/>
    <col min="2" max="2" width="12.140625" customWidth="1"/>
  </cols>
  <sheetData>
    <row r="1" spans="1:2" x14ac:dyDescent="0.25">
      <c r="A1" s="9" t="s">
        <v>14</v>
      </c>
      <c r="B1" s="9" t="s">
        <v>16</v>
      </c>
    </row>
    <row r="2" spans="1:2" x14ac:dyDescent="0.25">
      <c r="A2" s="4" t="s">
        <v>8</v>
      </c>
      <c r="B2" s="6">
        <v>100478.57742234862</v>
      </c>
    </row>
    <row r="3" spans="1:2" x14ac:dyDescent="0.25">
      <c r="A3" s="11" t="s">
        <v>15</v>
      </c>
      <c r="B3" s="10">
        <v>100478.57742234862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Views>
    <sheetView topLeftCell="B1" workbookViewId="0">
      <selection activeCell="G20" sqref="G20"/>
    </sheetView>
  </sheetViews>
  <sheetFormatPr defaultRowHeight="15" x14ac:dyDescent="0.25"/>
  <cols>
    <col min="1" max="1" width="13.140625" bestFit="1" customWidth="1"/>
    <col min="2" max="2" width="12.140625" customWidth="1"/>
  </cols>
  <sheetData>
    <row r="1" spans="1:2" x14ac:dyDescent="0.25">
      <c r="A1" s="9" t="s">
        <v>14</v>
      </c>
      <c r="B1" s="9" t="s">
        <v>16</v>
      </c>
    </row>
    <row r="2" spans="1:2" x14ac:dyDescent="0.25">
      <c r="A2" s="4" t="s">
        <v>7</v>
      </c>
      <c r="B2" s="6">
        <v>100478.57742234862</v>
      </c>
    </row>
    <row r="3" spans="1:2" x14ac:dyDescent="0.25">
      <c r="A3" s="11" t="s">
        <v>15</v>
      </c>
      <c r="B3" s="10">
        <v>100478.57742234862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Views>
    <sheetView zoomScale="94" workbookViewId="0">
      <selection activeCell="H21" sqref="H21"/>
    </sheetView>
  </sheetViews>
  <sheetFormatPr defaultRowHeight="15" x14ac:dyDescent="0.25"/>
  <cols>
    <col min="1" max="1" width="13.5703125" bestFit="1" customWidth="1"/>
    <col min="2" max="2" width="16" bestFit="1" customWidth="1"/>
  </cols>
  <sheetData>
    <row r="1" spans="1:2" x14ac:dyDescent="0.25">
      <c r="A1" s="9" t="s">
        <v>14</v>
      </c>
      <c r="B1" s="9" t="s">
        <v>29</v>
      </c>
    </row>
    <row r="2" spans="1:2" x14ac:dyDescent="0.25">
      <c r="A2" s="4" t="s">
        <v>8</v>
      </c>
      <c r="B2" s="6">
        <v>986</v>
      </c>
    </row>
    <row r="3" spans="1:2" x14ac:dyDescent="0.25">
      <c r="A3" s="11" t="s">
        <v>15</v>
      </c>
      <c r="B3" s="10">
        <v>986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6"/>
  <sheetViews>
    <sheetView workbookViewId="0">
      <selection activeCell="G22" sqref="G22"/>
    </sheetView>
  </sheetViews>
  <sheetFormatPr defaultRowHeight="15" x14ac:dyDescent="0.25"/>
  <cols>
    <col min="1" max="1" width="13.140625" bestFit="1" customWidth="1"/>
    <col min="2" max="2" width="12.140625" bestFit="1" customWidth="1"/>
  </cols>
  <sheetData>
    <row r="3" spans="1:2" x14ac:dyDescent="0.25">
      <c r="A3" s="9" t="s">
        <v>14</v>
      </c>
      <c r="B3" s="9" t="s">
        <v>16</v>
      </c>
    </row>
    <row r="4" spans="1:2" x14ac:dyDescent="0.25">
      <c r="A4" s="4" t="s">
        <v>31</v>
      </c>
      <c r="B4" s="6">
        <v>25650.214682180031</v>
      </c>
    </row>
    <row r="5" spans="1:2" x14ac:dyDescent="0.25">
      <c r="A5" s="4" t="s">
        <v>32</v>
      </c>
      <c r="B5" s="6">
        <v>34389.664588779822</v>
      </c>
    </row>
    <row r="6" spans="1:2" x14ac:dyDescent="0.25">
      <c r="A6" s="4" t="s">
        <v>33</v>
      </c>
      <c r="B6" s="6">
        <v>30937.517273575904</v>
      </c>
    </row>
    <row r="7" spans="1:2" x14ac:dyDescent="0.25">
      <c r="A7" s="4" t="s">
        <v>34</v>
      </c>
      <c r="B7" s="6">
        <v>27255.750941361734</v>
      </c>
    </row>
    <row r="8" spans="1:2" x14ac:dyDescent="0.25">
      <c r="A8" s="4" t="s">
        <v>35</v>
      </c>
      <c r="B8" s="6">
        <v>50663.580950083007</v>
      </c>
    </row>
    <row r="9" spans="1:2" x14ac:dyDescent="0.25">
      <c r="A9" s="4" t="s">
        <v>36</v>
      </c>
      <c r="B9" s="6">
        <v>34885.93221897239</v>
      </c>
    </row>
    <row r="10" spans="1:2" x14ac:dyDescent="0.25">
      <c r="A10" s="4" t="s">
        <v>37</v>
      </c>
      <c r="B10" s="6">
        <v>31998.505183869693</v>
      </c>
    </row>
    <row r="11" spans="1:2" x14ac:dyDescent="0.25">
      <c r="A11" s="4" t="s">
        <v>38</v>
      </c>
      <c r="B11" s="6">
        <v>28520.74889350669</v>
      </c>
    </row>
    <row r="12" spans="1:2" x14ac:dyDescent="0.25">
      <c r="A12" s="4" t="s">
        <v>39</v>
      </c>
      <c r="B12" s="6">
        <v>31447.010498772324</v>
      </c>
    </row>
    <row r="13" spans="1:2" x14ac:dyDescent="0.25">
      <c r="A13" s="4" t="s">
        <v>40</v>
      </c>
      <c r="B13" s="6">
        <v>30586.290597129013</v>
      </c>
    </row>
    <row r="14" spans="1:2" x14ac:dyDescent="0.25">
      <c r="A14" s="4" t="s">
        <v>41</v>
      </c>
      <c r="B14" s="6">
        <v>30509.962256744686</v>
      </c>
    </row>
    <row r="15" spans="1:2" x14ac:dyDescent="0.25">
      <c r="A15" s="4" t="s">
        <v>42</v>
      </c>
      <c r="B15" s="6">
        <v>30765.660605988276</v>
      </c>
    </row>
    <row r="16" spans="1:2" x14ac:dyDescent="0.25">
      <c r="A16" s="11" t="s">
        <v>15</v>
      </c>
      <c r="B16" s="10">
        <v>387610.83869096328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C19" sqref="C19"/>
    </sheetView>
  </sheetViews>
  <sheetFormatPr defaultRowHeight="15" x14ac:dyDescent="0.25"/>
  <cols>
    <col min="1" max="1" width="13.140625" bestFit="1" customWidth="1"/>
    <col min="2" max="2" width="22.140625" bestFit="1" customWidth="1"/>
  </cols>
  <sheetData>
    <row r="3" spans="1:2" x14ac:dyDescent="0.25">
      <c r="A3" s="9" t="s">
        <v>14</v>
      </c>
      <c r="B3" s="9" t="s">
        <v>44</v>
      </c>
    </row>
    <row r="4" spans="1:2" x14ac:dyDescent="0.25">
      <c r="A4" s="4" t="s">
        <v>43</v>
      </c>
      <c r="B4" s="6">
        <v>26.566513082689202</v>
      </c>
    </row>
    <row r="5" spans="1:2" x14ac:dyDescent="0.25">
      <c r="A5" s="4" t="s">
        <v>8</v>
      </c>
      <c r="B5" s="6">
        <v>27.814050089993255</v>
      </c>
    </row>
    <row r="6" spans="1:2" x14ac:dyDescent="0.25">
      <c r="A6" s="4" t="s">
        <v>6</v>
      </c>
      <c r="B6" s="6">
        <v>26.608170314909756</v>
      </c>
    </row>
    <row r="7" spans="1:2" x14ac:dyDescent="0.25">
      <c r="A7" s="4" t="s">
        <v>13</v>
      </c>
      <c r="B7" s="6">
        <v>28.310247206688548</v>
      </c>
    </row>
    <row r="8" spans="1:2" x14ac:dyDescent="0.25">
      <c r="A8" s="11" t="s">
        <v>15</v>
      </c>
      <c r="B8" s="10">
        <v>26.689808373036257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1"/>
  <sheetViews>
    <sheetView showGridLines="0" topLeftCell="A38" zoomScale="57" zoomScaleNormal="63" workbookViewId="0">
      <selection activeCell="X50" sqref="X50"/>
    </sheetView>
  </sheetViews>
  <sheetFormatPr defaultRowHeight="15" x14ac:dyDescent="0.25"/>
  <cols>
    <col min="3" max="3" width="12.28515625" bestFit="1" customWidth="1"/>
    <col min="7" max="7" width="11.28515625" bestFit="1" customWidth="1"/>
    <col min="11" max="11" width="10.42578125" bestFit="1" customWidth="1"/>
    <col min="15" max="15" width="9.5703125" bestFit="1" customWidth="1"/>
  </cols>
  <sheetData>
    <row r="1" spans="1:16" ht="15" customHeight="1" x14ac:dyDescent="0.4">
      <c r="A1" s="19"/>
      <c r="B1" s="26" t="s">
        <v>45</v>
      </c>
      <c r="C1" s="27"/>
      <c r="D1" s="27"/>
      <c r="E1" s="27"/>
      <c r="F1" s="27"/>
      <c r="G1" s="27"/>
      <c r="H1" s="27"/>
      <c r="I1" s="27"/>
      <c r="J1" s="27"/>
      <c r="K1" s="27"/>
      <c r="L1" s="27"/>
      <c r="M1" s="27"/>
      <c r="N1" s="27"/>
      <c r="O1" s="27"/>
      <c r="P1" s="27"/>
    </row>
    <row r="2" spans="1:16" x14ac:dyDescent="0.25">
      <c r="A2" s="12"/>
      <c r="B2" s="27"/>
      <c r="C2" s="27"/>
      <c r="D2" s="27"/>
      <c r="E2" s="27"/>
      <c r="F2" s="27"/>
      <c r="G2" s="27"/>
      <c r="H2" s="27"/>
      <c r="I2" s="27"/>
      <c r="J2" s="27"/>
      <c r="K2" s="27"/>
      <c r="L2" s="27"/>
      <c r="M2" s="27"/>
      <c r="N2" s="27"/>
      <c r="O2" s="27"/>
      <c r="P2" s="27"/>
    </row>
    <row r="3" spans="1:16" x14ac:dyDescent="0.25">
      <c r="A3" s="12"/>
      <c r="B3" s="27"/>
      <c r="C3" s="27"/>
      <c r="D3" s="27"/>
      <c r="E3" s="27"/>
      <c r="F3" s="27"/>
      <c r="G3" s="27"/>
      <c r="H3" s="27"/>
      <c r="I3" s="27"/>
      <c r="J3" s="27"/>
      <c r="K3" s="27"/>
      <c r="L3" s="27"/>
      <c r="M3" s="27"/>
      <c r="N3" s="27"/>
      <c r="O3" s="27"/>
      <c r="P3" s="27"/>
    </row>
    <row r="4" spans="1:16" x14ac:dyDescent="0.25">
      <c r="B4" s="27"/>
      <c r="C4" s="27"/>
      <c r="D4" s="27"/>
      <c r="E4" s="27"/>
      <c r="F4" s="27"/>
      <c r="G4" s="27"/>
      <c r="H4" s="27"/>
      <c r="I4" s="27"/>
      <c r="J4" s="27"/>
      <c r="K4" s="27"/>
      <c r="L4" s="27"/>
      <c r="M4" s="27"/>
      <c r="N4" s="27"/>
      <c r="O4" s="27"/>
      <c r="P4" s="27"/>
    </row>
    <row r="5" spans="1:16" x14ac:dyDescent="0.25">
      <c r="A5" s="12"/>
      <c r="B5" s="27"/>
      <c r="C5" s="27"/>
      <c r="D5" s="27"/>
      <c r="E5" s="27"/>
      <c r="F5" s="27"/>
      <c r="G5" s="27"/>
      <c r="H5" s="27"/>
      <c r="I5" s="27"/>
      <c r="J5" s="27"/>
      <c r="K5" s="27"/>
      <c r="L5" s="27"/>
      <c r="M5" s="27"/>
      <c r="N5" s="27"/>
      <c r="O5" s="27"/>
      <c r="P5" s="27"/>
    </row>
    <row r="6" spans="1:16" x14ac:dyDescent="0.25">
      <c r="A6" s="12"/>
    </row>
    <row r="7" spans="1:16" x14ac:dyDescent="0.25">
      <c r="B7" s="20" t="s">
        <v>46</v>
      </c>
      <c r="C7" s="21"/>
      <c r="D7" s="22"/>
      <c r="F7" s="20" t="s">
        <v>47</v>
      </c>
      <c r="G7" s="21"/>
      <c r="H7" s="22"/>
      <c r="J7" s="20" t="s">
        <v>48</v>
      </c>
      <c r="K7" s="21"/>
      <c r="L7" s="22"/>
      <c r="N7" s="20" t="s">
        <v>26</v>
      </c>
      <c r="O7" s="21"/>
      <c r="P7" s="22"/>
    </row>
    <row r="8" spans="1:16" x14ac:dyDescent="0.25">
      <c r="B8" s="23"/>
      <c r="C8" s="24"/>
      <c r="D8" s="25"/>
      <c r="F8" s="23"/>
      <c r="G8" s="24"/>
      <c r="H8" s="25"/>
      <c r="J8" s="23"/>
      <c r="K8" s="24"/>
      <c r="L8" s="25"/>
      <c r="N8" s="23"/>
      <c r="O8" s="24"/>
      <c r="P8" s="25"/>
    </row>
    <row r="9" spans="1:16" x14ac:dyDescent="0.25">
      <c r="B9" s="23"/>
      <c r="C9" s="24"/>
      <c r="D9" s="25"/>
      <c r="F9" s="23"/>
      <c r="G9" s="24"/>
      <c r="H9" s="25"/>
      <c r="J9" s="23"/>
      <c r="K9" s="24"/>
      <c r="L9" s="25"/>
      <c r="N9" s="23"/>
      <c r="O9" s="24"/>
      <c r="P9" s="25"/>
    </row>
    <row r="10" spans="1:16" x14ac:dyDescent="0.25">
      <c r="B10" s="15"/>
      <c r="C10" s="13"/>
      <c r="D10" s="14"/>
      <c r="F10" s="15"/>
      <c r="G10" s="13"/>
      <c r="H10" s="14"/>
      <c r="J10" s="15"/>
      <c r="K10" s="13"/>
      <c r="L10" s="14"/>
      <c r="N10" s="15"/>
      <c r="O10" s="13"/>
      <c r="P10" s="14"/>
    </row>
    <row r="11" spans="1:16" x14ac:dyDescent="0.25">
      <c r="B11" s="16"/>
      <c r="C11" s="18">
        <f>SUM(vish_miniproject_1!C2:C388)</f>
        <v>387610.83869096328</v>
      </c>
      <c r="D11" s="17"/>
      <c r="F11" s="16"/>
      <c r="G11" s="18">
        <f>SUM(vish_miniproject_1!E2:E388)</f>
        <v>96894.453035633283</v>
      </c>
      <c r="H11" s="17"/>
      <c r="J11" s="16"/>
      <c r="K11" s="18">
        <f>SUM(vish_miniproject_1!D2:D388)</f>
        <v>3820</v>
      </c>
      <c r="L11" s="17"/>
      <c r="N11" s="16"/>
      <c r="O11" s="18">
        <f>AVERAGE(vish_miniproject_1!C2:C388)</f>
        <v>1001.5783945502927</v>
      </c>
      <c r="P11" s="17"/>
    </row>
  </sheetData>
  <mergeCells count="5">
    <mergeCell ref="B7:D9"/>
    <mergeCell ref="F7:H9"/>
    <mergeCell ref="J7:L9"/>
    <mergeCell ref="N7:P9"/>
    <mergeCell ref="B1:P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85"/>
  <sheetViews>
    <sheetView zoomScale="59" workbookViewId="0">
      <selection activeCell="J25" sqref="J25"/>
    </sheetView>
  </sheetViews>
  <sheetFormatPr defaultRowHeight="15" x14ac:dyDescent="0.25"/>
  <cols>
    <col min="1" max="1" width="10.42578125" bestFit="1" customWidth="1"/>
    <col min="2" max="2" width="9.28515625" bestFit="1" customWidth="1"/>
    <col min="3" max="3" width="17" customWidth="1"/>
    <col min="4" max="4" width="31.7109375" customWidth="1"/>
    <col min="5" max="5" width="31.85546875" customWidth="1"/>
  </cols>
  <sheetData>
    <row r="1" spans="1:5" x14ac:dyDescent="0.25">
      <c r="A1" t="s">
        <v>0</v>
      </c>
      <c r="B1" t="s">
        <v>4</v>
      </c>
      <c r="C1" t="s">
        <v>17</v>
      </c>
      <c r="D1" t="s">
        <v>18</v>
      </c>
      <c r="E1" t="s">
        <v>19</v>
      </c>
    </row>
    <row r="2" spans="1:5" x14ac:dyDescent="0.25">
      <c r="A2" s="5">
        <v>44927</v>
      </c>
      <c r="B2" s="6">
        <v>383.66424460000002</v>
      </c>
    </row>
    <row r="3" spans="1:5" x14ac:dyDescent="0.25">
      <c r="A3" s="5">
        <v>44928</v>
      </c>
      <c r="B3" s="6">
        <v>82.396149367770505</v>
      </c>
    </row>
    <row r="4" spans="1:5" x14ac:dyDescent="0.25">
      <c r="A4" s="5">
        <v>44929</v>
      </c>
      <c r="B4" s="6">
        <v>283.69699183768898</v>
      </c>
    </row>
    <row r="5" spans="1:5" x14ac:dyDescent="0.25">
      <c r="A5" s="5">
        <v>44930</v>
      </c>
      <c r="B5" s="6">
        <v>102.610250599933</v>
      </c>
    </row>
    <row r="6" spans="1:5" x14ac:dyDescent="0.25">
      <c r="A6" s="5">
        <v>44931</v>
      </c>
      <c r="B6" s="6">
        <v>273.04186276714802</v>
      </c>
    </row>
    <row r="7" spans="1:5" x14ac:dyDescent="0.25">
      <c r="A7" s="5">
        <v>44932</v>
      </c>
      <c r="B7" s="6">
        <v>340.90921960487702</v>
      </c>
    </row>
    <row r="8" spans="1:5" x14ac:dyDescent="0.25">
      <c r="A8" s="5">
        <v>44933</v>
      </c>
      <c r="B8" s="6">
        <v>525.16832052265102</v>
      </c>
    </row>
    <row r="9" spans="1:5" x14ac:dyDescent="0.25">
      <c r="A9" s="5">
        <v>44934</v>
      </c>
      <c r="B9" s="6">
        <v>69.290452181311196</v>
      </c>
    </row>
    <row r="10" spans="1:5" x14ac:dyDescent="0.25">
      <c r="A10" s="5">
        <v>44935</v>
      </c>
      <c r="B10" s="6">
        <v>136.92343580350101</v>
      </c>
    </row>
    <row r="11" spans="1:5" x14ac:dyDescent="0.25">
      <c r="A11" s="5">
        <v>44936</v>
      </c>
      <c r="B11" s="6">
        <v>258.22066110469001</v>
      </c>
    </row>
    <row r="12" spans="1:5" x14ac:dyDescent="0.25">
      <c r="A12" s="5">
        <v>44937</v>
      </c>
      <c r="B12" s="6">
        <v>62.2819895503103</v>
      </c>
    </row>
    <row r="13" spans="1:5" x14ac:dyDescent="0.25">
      <c r="A13" s="5">
        <v>44938</v>
      </c>
      <c r="B13" s="6">
        <v>227.78605751265599</v>
      </c>
    </row>
    <row r="14" spans="1:5" x14ac:dyDescent="0.25">
      <c r="A14" s="5">
        <v>44939</v>
      </c>
      <c r="B14" s="6">
        <v>163.140892452023</v>
      </c>
    </row>
    <row r="15" spans="1:5" x14ac:dyDescent="0.25">
      <c r="A15" s="5">
        <v>44940</v>
      </c>
      <c r="B15" s="6">
        <v>370.95586092322299</v>
      </c>
    </row>
    <row r="16" spans="1:5" x14ac:dyDescent="0.25">
      <c r="A16" s="5">
        <v>44941</v>
      </c>
      <c r="B16" s="6">
        <v>220.93844629734701</v>
      </c>
    </row>
    <row r="17" spans="1:2" x14ac:dyDescent="0.25">
      <c r="A17" s="5">
        <v>44942</v>
      </c>
      <c r="B17" s="6">
        <v>421.50086204765802</v>
      </c>
    </row>
    <row r="18" spans="1:2" x14ac:dyDescent="0.25">
      <c r="A18" s="5">
        <v>44943</v>
      </c>
      <c r="B18" s="6">
        <v>545.61772625387596</v>
      </c>
    </row>
    <row r="19" spans="1:2" x14ac:dyDescent="0.25">
      <c r="A19" s="5">
        <v>44944</v>
      </c>
      <c r="B19" s="6">
        <v>220.54394327459801</v>
      </c>
    </row>
    <row r="20" spans="1:2" x14ac:dyDescent="0.25">
      <c r="A20" s="5">
        <v>44945</v>
      </c>
      <c r="B20" s="6">
        <v>183.830902128823</v>
      </c>
    </row>
    <row r="21" spans="1:2" x14ac:dyDescent="0.25">
      <c r="A21" s="5">
        <v>44946</v>
      </c>
      <c r="B21" s="6">
        <v>303.46323003799898</v>
      </c>
    </row>
    <row r="22" spans="1:2" x14ac:dyDescent="0.25">
      <c r="A22" s="5">
        <v>44947</v>
      </c>
      <c r="B22" s="6">
        <v>253.43330069370299</v>
      </c>
    </row>
    <row r="23" spans="1:2" x14ac:dyDescent="0.25">
      <c r="A23" s="5">
        <v>44948</v>
      </c>
      <c r="B23" s="6">
        <v>269.06703734444</v>
      </c>
    </row>
    <row r="24" spans="1:2" x14ac:dyDescent="0.25">
      <c r="A24" s="5">
        <v>44949</v>
      </c>
      <c r="B24" s="6">
        <v>177.49091336932699</v>
      </c>
    </row>
    <row r="25" spans="1:2" x14ac:dyDescent="0.25">
      <c r="A25" s="5">
        <v>44950</v>
      </c>
      <c r="B25" s="6">
        <v>105.48481010603</v>
      </c>
    </row>
    <row r="26" spans="1:2" x14ac:dyDescent="0.25">
      <c r="A26" s="5">
        <v>44951</v>
      </c>
      <c r="B26" s="6">
        <v>80.935934995325994</v>
      </c>
    </row>
    <row r="27" spans="1:2" x14ac:dyDescent="0.25">
      <c r="A27" s="5">
        <v>44952</v>
      </c>
      <c r="B27" s="6">
        <v>150.43077621635399</v>
      </c>
    </row>
    <row r="28" spans="1:2" x14ac:dyDescent="0.25">
      <c r="A28" s="5">
        <v>44953</v>
      </c>
      <c r="B28" s="6">
        <v>301.06563342491</v>
      </c>
    </row>
    <row r="29" spans="1:2" x14ac:dyDescent="0.25">
      <c r="A29" s="5">
        <v>44954</v>
      </c>
      <c r="B29" s="6">
        <v>156.22396105974599</v>
      </c>
    </row>
    <row r="30" spans="1:2" x14ac:dyDescent="0.25">
      <c r="A30" s="5">
        <v>44955</v>
      </c>
      <c r="B30" s="6">
        <v>139.70609038717799</v>
      </c>
    </row>
    <row r="31" spans="1:2" x14ac:dyDescent="0.25">
      <c r="A31" s="5">
        <v>44956</v>
      </c>
      <c r="B31" s="6">
        <v>260.91175041210403</v>
      </c>
    </row>
    <row r="32" spans="1:2" x14ac:dyDescent="0.25">
      <c r="A32" s="5">
        <v>44957</v>
      </c>
      <c r="B32" s="6">
        <v>253.00296270000001</v>
      </c>
    </row>
    <row r="33" spans="1:2" x14ac:dyDescent="0.25">
      <c r="A33" s="5">
        <v>44958</v>
      </c>
      <c r="B33" s="6">
        <v>113.610555411551</v>
      </c>
    </row>
    <row r="34" spans="1:2" x14ac:dyDescent="0.25">
      <c r="A34" s="5">
        <v>44959</v>
      </c>
      <c r="B34" s="6">
        <v>102.871729433615</v>
      </c>
    </row>
    <row r="35" spans="1:2" x14ac:dyDescent="0.25">
      <c r="A35" s="5">
        <v>44960</v>
      </c>
      <c r="B35" s="6">
        <v>212.40695876411101</v>
      </c>
    </row>
    <row r="36" spans="1:2" x14ac:dyDescent="0.25">
      <c r="A36" s="5">
        <v>44961</v>
      </c>
      <c r="B36" s="6">
        <v>80.137140011261906</v>
      </c>
    </row>
    <row r="37" spans="1:2" x14ac:dyDescent="0.25">
      <c r="A37" s="5">
        <v>44962</v>
      </c>
      <c r="B37" s="6">
        <v>218.91621929329699</v>
      </c>
    </row>
    <row r="38" spans="1:2" x14ac:dyDescent="0.25">
      <c r="A38" s="5">
        <v>44963</v>
      </c>
      <c r="B38" s="6">
        <v>93.229376409035197</v>
      </c>
    </row>
    <row r="39" spans="1:2" x14ac:dyDescent="0.25">
      <c r="A39" s="5">
        <v>44964</v>
      </c>
      <c r="B39" s="6">
        <v>373.46066450000001</v>
      </c>
    </row>
    <row r="40" spans="1:2" x14ac:dyDescent="0.25">
      <c r="A40" s="5">
        <v>44965</v>
      </c>
      <c r="B40" s="6">
        <v>252.78977447474799</v>
      </c>
    </row>
    <row r="41" spans="1:2" x14ac:dyDescent="0.25">
      <c r="A41" s="5">
        <v>44966</v>
      </c>
      <c r="B41" s="6">
        <v>153.610308003135</v>
      </c>
    </row>
    <row r="42" spans="1:2" x14ac:dyDescent="0.25">
      <c r="A42" s="5">
        <v>44967</v>
      </c>
      <c r="B42" s="6">
        <v>233.05521558658501</v>
      </c>
    </row>
    <row r="43" spans="1:2" x14ac:dyDescent="0.25">
      <c r="A43" s="5">
        <v>44968</v>
      </c>
      <c r="B43" s="6">
        <v>327.76191963448002</v>
      </c>
    </row>
    <row r="44" spans="1:2" x14ac:dyDescent="0.25">
      <c r="A44" s="5">
        <v>44969</v>
      </c>
      <c r="B44" s="6">
        <v>294.39953295401699</v>
      </c>
    </row>
    <row r="45" spans="1:2" x14ac:dyDescent="0.25">
      <c r="A45" s="5">
        <v>44970</v>
      </c>
      <c r="B45" s="6">
        <v>393.46396488586799</v>
      </c>
    </row>
    <row r="46" spans="1:2" x14ac:dyDescent="0.25">
      <c r="A46" s="5">
        <v>44971</v>
      </c>
      <c r="B46" s="6">
        <v>338.03866799999997</v>
      </c>
    </row>
    <row r="47" spans="1:2" x14ac:dyDescent="0.25">
      <c r="A47" s="5">
        <v>44972</v>
      </c>
      <c r="B47" s="6">
        <v>201.918528882103</v>
      </c>
    </row>
    <row r="48" spans="1:2" x14ac:dyDescent="0.25">
      <c r="A48" s="5">
        <v>44973</v>
      </c>
      <c r="B48" s="6">
        <v>269.61020140274002</v>
      </c>
    </row>
    <row r="49" spans="1:2" x14ac:dyDescent="0.25">
      <c r="A49" s="5">
        <v>44974</v>
      </c>
      <c r="B49" s="6">
        <v>257.78286474082199</v>
      </c>
    </row>
    <row r="50" spans="1:2" x14ac:dyDescent="0.25">
      <c r="A50" s="5">
        <v>44975</v>
      </c>
      <c r="B50" s="6">
        <v>109.67029135562299</v>
      </c>
    </row>
    <row r="51" spans="1:2" x14ac:dyDescent="0.25">
      <c r="A51" s="5">
        <v>44976</v>
      </c>
      <c r="B51" s="6">
        <v>395.244053806024</v>
      </c>
    </row>
    <row r="52" spans="1:2" x14ac:dyDescent="0.25">
      <c r="A52" s="5">
        <v>44977</v>
      </c>
      <c r="B52" s="6">
        <v>183.446290883057</v>
      </c>
    </row>
    <row r="53" spans="1:2" x14ac:dyDescent="0.25">
      <c r="A53" s="5">
        <v>44978</v>
      </c>
      <c r="B53" s="6">
        <v>110.29950199240901</v>
      </c>
    </row>
    <row r="54" spans="1:2" x14ac:dyDescent="0.25">
      <c r="A54" s="5">
        <v>44979</v>
      </c>
      <c r="B54" s="6">
        <v>404.21816104767203</v>
      </c>
    </row>
    <row r="55" spans="1:2" x14ac:dyDescent="0.25">
      <c r="A55" s="5">
        <v>44980</v>
      </c>
      <c r="B55" s="6">
        <v>254.902336427085</v>
      </c>
    </row>
    <row r="56" spans="1:2" x14ac:dyDescent="0.25">
      <c r="A56" s="5">
        <v>44981</v>
      </c>
      <c r="B56" s="6">
        <v>329.63541197242301</v>
      </c>
    </row>
    <row r="57" spans="1:2" x14ac:dyDescent="0.25">
      <c r="A57" s="5">
        <v>44982</v>
      </c>
      <c r="B57" s="6">
        <v>315.711118373548</v>
      </c>
    </row>
    <row r="58" spans="1:2" x14ac:dyDescent="0.25">
      <c r="A58" s="5">
        <v>44983</v>
      </c>
      <c r="B58" s="6">
        <v>316.66518283843101</v>
      </c>
    </row>
    <row r="59" spans="1:2" x14ac:dyDescent="0.25">
      <c r="A59" s="5">
        <v>44984</v>
      </c>
      <c r="B59" s="6">
        <v>123.350459386094</v>
      </c>
    </row>
    <row r="60" spans="1:2" x14ac:dyDescent="0.25">
      <c r="A60" s="5">
        <v>44985</v>
      </c>
      <c r="B60" s="6">
        <v>703.22841779999999</v>
      </c>
    </row>
    <row r="61" spans="1:2" x14ac:dyDescent="0.25">
      <c r="A61" s="5">
        <v>44986</v>
      </c>
      <c r="B61" s="6">
        <v>414.11174945570798</v>
      </c>
    </row>
    <row r="62" spans="1:2" x14ac:dyDescent="0.25">
      <c r="A62" s="5">
        <v>44987</v>
      </c>
      <c r="B62" s="6">
        <v>188.07665030618799</v>
      </c>
    </row>
    <row r="63" spans="1:2" x14ac:dyDescent="0.25">
      <c r="A63" s="5">
        <v>44988</v>
      </c>
      <c r="B63" s="6">
        <v>285.87966721734199</v>
      </c>
    </row>
    <row r="64" spans="1:2" x14ac:dyDescent="0.25">
      <c r="A64" s="5">
        <v>44989</v>
      </c>
      <c r="B64" s="6">
        <v>168.32620210715999</v>
      </c>
    </row>
    <row r="65" spans="1:2" x14ac:dyDescent="0.25">
      <c r="A65" s="5">
        <v>44990</v>
      </c>
      <c r="B65" s="6">
        <v>175.37551818310999</v>
      </c>
    </row>
    <row r="66" spans="1:2" x14ac:dyDescent="0.25">
      <c r="A66" s="5">
        <v>44991</v>
      </c>
      <c r="B66" s="6">
        <v>218.19057566543799</v>
      </c>
    </row>
    <row r="67" spans="1:2" x14ac:dyDescent="0.25">
      <c r="A67" s="5">
        <v>44992</v>
      </c>
      <c r="B67" s="6">
        <v>105.948970542319</v>
      </c>
    </row>
    <row r="68" spans="1:2" x14ac:dyDescent="0.25">
      <c r="A68" s="5">
        <v>44993</v>
      </c>
      <c r="B68" s="6">
        <v>168.843521708422</v>
      </c>
    </row>
    <row r="69" spans="1:2" x14ac:dyDescent="0.25">
      <c r="A69" s="5">
        <v>44994</v>
      </c>
      <c r="B69" s="6">
        <v>195.568470060126</v>
      </c>
    </row>
    <row r="70" spans="1:2" x14ac:dyDescent="0.25">
      <c r="A70" s="5">
        <v>44995</v>
      </c>
      <c r="B70" s="6">
        <v>314.11838856900101</v>
      </c>
    </row>
    <row r="71" spans="1:2" x14ac:dyDescent="0.25">
      <c r="A71" s="5">
        <v>44996</v>
      </c>
      <c r="B71" s="6">
        <v>82.689476400846999</v>
      </c>
    </row>
    <row r="72" spans="1:2" x14ac:dyDescent="0.25">
      <c r="A72" s="5">
        <v>44997</v>
      </c>
      <c r="B72" s="6">
        <v>149.55148993737399</v>
      </c>
    </row>
    <row r="73" spans="1:2" x14ac:dyDescent="0.25">
      <c r="A73" s="5">
        <v>44998</v>
      </c>
      <c r="B73" s="6">
        <v>92.796076354245201</v>
      </c>
    </row>
    <row r="74" spans="1:2" x14ac:dyDescent="0.25">
      <c r="A74" s="5">
        <v>44999</v>
      </c>
      <c r="B74" s="6">
        <v>242.088424018159</v>
      </c>
    </row>
    <row r="75" spans="1:2" x14ac:dyDescent="0.25">
      <c r="A75" s="5">
        <v>45000</v>
      </c>
      <c r="B75" s="6">
        <v>388.56985448801998</v>
      </c>
    </row>
    <row r="76" spans="1:2" x14ac:dyDescent="0.25">
      <c r="A76" s="5">
        <v>45001</v>
      </c>
      <c r="B76" s="6">
        <v>215.782801520974</v>
      </c>
    </row>
    <row r="77" spans="1:2" x14ac:dyDescent="0.25">
      <c r="A77" s="5">
        <v>45002</v>
      </c>
      <c r="B77" s="6">
        <v>166.35913372867401</v>
      </c>
    </row>
    <row r="78" spans="1:2" x14ac:dyDescent="0.25">
      <c r="A78" s="5">
        <v>45003</v>
      </c>
      <c r="B78" s="6">
        <v>211.07710282903699</v>
      </c>
    </row>
    <row r="79" spans="1:2" x14ac:dyDescent="0.25">
      <c r="A79" s="5">
        <v>45004</v>
      </c>
      <c r="B79" s="6">
        <v>216.99236748971899</v>
      </c>
    </row>
    <row r="80" spans="1:2" x14ac:dyDescent="0.25">
      <c r="A80" s="5">
        <v>45005</v>
      </c>
      <c r="B80" s="6">
        <v>152.780281353905</v>
      </c>
    </row>
    <row r="81" spans="1:2" x14ac:dyDescent="0.25">
      <c r="A81" s="5">
        <v>45006</v>
      </c>
      <c r="B81" s="6">
        <v>175.23222358088401</v>
      </c>
    </row>
    <row r="82" spans="1:2" x14ac:dyDescent="0.25">
      <c r="A82" s="5">
        <v>45007</v>
      </c>
      <c r="B82" s="6">
        <v>235.63162032358699</v>
      </c>
    </row>
    <row r="83" spans="1:2" x14ac:dyDescent="0.25">
      <c r="A83" s="5">
        <v>45008</v>
      </c>
      <c r="B83" s="6">
        <v>261.58209416891998</v>
      </c>
    </row>
    <row r="84" spans="1:2" x14ac:dyDescent="0.25">
      <c r="A84" s="5">
        <v>45009</v>
      </c>
      <c r="B84" s="6">
        <v>183.929457591627</v>
      </c>
    </row>
    <row r="85" spans="1:2" x14ac:dyDescent="0.25">
      <c r="A85" s="5">
        <v>45010</v>
      </c>
      <c r="B85" s="6">
        <v>412.414536489451</v>
      </c>
    </row>
    <row r="86" spans="1:2" x14ac:dyDescent="0.25">
      <c r="A86" s="5">
        <v>45011</v>
      </c>
      <c r="B86" s="6">
        <v>312.68334752305702</v>
      </c>
    </row>
    <row r="87" spans="1:2" x14ac:dyDescent="0.25">
      <c r="A87" s="5">
        <v>45012</v>
      </c>
      <c r="B87" s="6">
        <v>344.58351129584503</v>
      </c>
    </row>
    <row r="88" spans="1:2" x14ac:dyDescent="0.25">
      <c r="A88" s="5">
        <v>45013</v>
      </c>
      <c r="B88" s="6">
        <v>284.30868386872402</v>
      </c>
    </row>
    <row r="89" spans="1:2" x14ac:dyDescent="0.25">
      <c r="A89" s="5">
        <v>45014</v>
      </c>
      <c r="B89" s="6">
        <v>181.108346724043</v>
      </c>
    </row>
    <row r="90" spans="1:2" x14ac:dyDescent="0.25">
      <c r="A90" s="5">
        <v>45015</v>
      </c>
      <c r="B90" s="6">
        <v>307.13622939453802</v>
      </c>
    </row>
    <row r="91" spans="1:2" x14ac:dyDescent="0.25">
      <c r="A91" s="5">
        <v>45016</v>
      </c>
      <c r="B91" s="6">
        <v>235.67912237360699</v>
      </c>
    </row>
    <row r="92" spans="1:2" x14ac:dyDescent="0.25">
      <c r="A92" s="5">
        <v>45017</v>
      </c>
      <c r="B92" s="6">
        <v>570.41687473221998</v>
      </c>
    </row>
    <row r="93" spans="1:2" x14ac:dyDescent="0.25">
      <c r="A93" s="5">
        <v>45018</v>
      </c>
      <c r="B93" s="6">
        <v>387.070449827826</v>
      </c>
    </row>
    <row r="94" spans="1:2" x14ac:dyDescent="0.25">
      <c r="A94" s="5">
        <v>45019</v>
      </c>
      <c r="B94" s="6">
        <v>141.876228108475</v>
      </c>
    </row>
    <row r="95" spans="1:2" x14ac:dyDescent="0.25">
      <c r="A95" s="5">
        <v>45020</v>
      </c>
      <c r="B95" s="6">
        <v>0</v>
      </c>
    </row>
    <row r="96" spans="1:2" x14ac:dyDescent="0.25">
      <c r="A96" s="5">
        <v>45021</v>
      </c>
      <c r="B96" s="6">
        <v>239.31911902152001</v>
      </c>
    </row>
    <row r="97" spans="1:2" x14ac:dyDescent="0.25">
      <c r="A97" s="5">
        <v>45022</v>
      </c>
      <c r="B97" s="6">
        <v>188.93918534839699</v>
      </c>
    </row>
    <row r="98" spans="1:2" x14ac:dyDescent="0.25">
      <c r="A98" s="5">
        <v>45023</v>
      </c>
      <c r="B98" s="6">
        <v>178.92973284868501</v>
      </c>
    </row>
    <row r="99" spans="1:2" x14ac:dyDescent="0.25">
      <c r="A99" s="5">
        <v>45024</v>
      </c>
      <c r="B99" s="6">
        <v>462.15698117454298</v>
      </c>
    </row>
    <row r="100" spans="1:2" x14ac:dyDescent="0.25">
      <c r="A100" s="5">
        <v>45025</v>
      </c>
      <c r="B100" s="6">
        <v>92.274782204987901</v>
      </c>
    </row>
    <row r="101" spans="1:2" x14ac:dyDescent="0.25">
      <c r="A101" s="5">
        <v>45026</v>
      </c>
      <c r="B101" s="6">
        <v>214.286482024268</v>
      </c>
    </row>
    <row r="102" spans="1:2" x14ac:dyDescent="0.25">
      <c r="A102" s="5">
        <v>45027</v>
      </c>
      <c r="B102" s="6">
        <v>226.251072208967</v>
      </c>
    </row>
    <row r="103" spans="1:2" x14ac:dyDescent="0.25">
      <c r="A103" s="5">
        <v>45028</v>
      </c>
      <c r="B103" s="6">
        <v>235.514287445593</v>
      </c>
    </row>
    <row r="104" spans="1:2" x14ac:dyDescent="0.25">
      <c r="A104" s="5">
        <v>45029</v>
      </c>
      <c r="B104" s="6">
        <v>234.883674913531</v>
      </c>
    </row>
    <row r="105" spans="1:2" x14ac:dyDescent="0.25">
      <c r="A105" s="5">
        <v>45030</v>
      </c>
      <c r="B105" s="6">
        <v>248.67113478526699</v>
      </c>
    </row>
    <row r="106" spans="1:2" x14ac:dyDescent="0.25">
      <c r="A106" s="5">
        <v>45031</v>
      </c>
      <c r="B106" s="6">
        <v>289.30405032633797</v>
      </c>
    </row>
    <row r="107" spans="1:2" x14ac:dyDescent="0.25">
      <c r="A107" s="5">
        <v>45032</v>
      </c>
      <c r="B107" s="6">
        <v>153.21088839887699</v>
      </c>
    </row>
    <row r="108" spans="1:2" x14ac:dyDescent="0.25">
      <c r="A108" s="5">
        <v>45033</v>
      </c>
      <c r="B108" s="6">
        <v>329.67448057366499</v>
      </c>
    </row>
    <row r="109" spans="1:2" x14ac:dyDescent="0.25">
      <c r="A109" s="5">
        <v>45034</v>
      </c>
      <c r="B109" s="6">
        <v>118.47594844685</v>
      </c>
    </row>
    <row r="110" spans="1:2" x14ac:dyDescent="0.25">
      <c r="A110" s="5">
        <v>45035</v>
      </c>
      <c r="B110" s="6">
        <v>331.306397925152</v>
      </c>
    </row>
    <row r="111" spans="1:2" x14ac:dyDescent="0.25">
      <c r="A111" s="5">
        <v>45036</v>
      </c>
      <c r="B111" s="6">
        <v>246.49923273650501</v>
      </c>
    </row>
    <row r="112" spans="1:2" x14ac:dyDescent="0.25">
      <c r="A112" s="5">
        <v>45037</v>
      </c>
      <c r="B112" s="6">
        <v>403.06894183964602</v>
      </c>
    </row>
    <row r="113" spans="1:2" x14ac:dyDescent="0.25">
      <c r="A113" s="5">
        <v>45038</v>
      </c>
      <c r="B113" s="6">
        <v>139.64327688579499</v>
      </c>
    </row>
    <row r="114" spans="1:2" x14ac:dyDescent="0.25">
      <c r="A114" s="5">
        <v>45039</v>
      </c>
      <c r="B114" s="6">
        <v>405.56066187876098</v>
      </c>
    </row>
    <row r="115" spans="1:2" x14ac:dyDescent="0.25">
      <c r="A115" s="5">
        <v>45040</v>
      </c>
      <c r="B115" s="6">
        <v>213.09395856250799</v>
      </c>
    </row>
    <row r="116" spans="1:2" x14ac:dyDescent="0.25">
      <c r="A116" s="5">
        <v>45041</v>
      </c>
      <c r="B116" s="6">
        <v>97.167825245427693</v>
      </c>
    </row>
    <row r="117" spans="1:2" x14ac:dyDescent="0.25">
      <c r="A117" s="5">
        <v>45042</v>
      </c>
      <c r="B117" s="6">
        <v>471.09028029872701</v>
      </c>
    </row>
    <row r="118" spans="1:2" x14ac:dyDescent="0.25">
      <c r="A118" s="5">
        <v>45043</v>
      </c>
      <c r="B118" s="6">
        <v>252.88442120168199</v>
      </c>
    </row>
    <row r="119" spans="1:2" x14ac:dyDescent="0.25">
      <c r="A119" s="5">
        <v>45044</v>
      </c>
      <c r="B119" s="6">
        <v>169.231502632706</v>
      </c>
    </row>
    <row r="120" spans="1:2" x14ac:dyDescent="0.25">
      <c r="A120" s="5">
        <v>45045</v>
      </c>
      <c r="B120" s="6">
        <v>170.74688889999999</v>
      </c>
    </row>
    <row r="121" spans="1:2" x14ac:dyDescent="0.25">
      <c r="A121" s="5">
        <v>45046</v>
      </c>
      <c r="B121" s="6">
        <v>270.31086323950302</v>
      </c>
    </row>
    <row r="122" spans="1:2" x14ac:dyDescent="0.25">
      <c r="A122" s="5">
        <v>45047</v>
      </c>
      <c r="B122" s="6">
        <v>226.298978161701</v>
      </c>
    </row>
    <row r="123" spans="1:2" x14ac:dyDescent="0.25">
      <c r="A123" s="5">
        <v>45048</v>
      </c>
      <c r="B123" s="6">
        <v>149.54357961277699</v>
      </c>
    </row>
    <row r="124" spans="1:2" x14ac:dyDescent="0.25">
      <c r="A124" s="5">
        <v>45049</v>
      </c>
      <c r="B124" s="6">
        <v>335.38739134748198</v>
      </c>
    </row>
    <row r="125" spans="1:2" x14ac:dyDescent="0.25">
      <c r="A125" s="5">
        <v>45050</v>
      </c>
      <c r="B125" s="6">
        <v>216.86994373699901</v>
      </c>
    </row>
    <row r="126" spans="1:2" x14ac:dyDescent="0.25">
      <c r="A126" s="5">
        <v>45051</v>
      </c>
      <c r="B126" s="6">
        <v>320.984752197376</v>
      </c>
    </row>
    <row r="127" spans="1:2" x14ac:dyDescent="0.25">
      <c r="A127" s="5">
        <v>45052</v>
      </c>
      <c r="B127" s="6">
        <v>57.800889410508702</v>
      </c>
    </row>
    <row r="128" spans="1:2" x14ac:dyDescent="0.25">
      <c r="A128" s="5">
        <v>45053</v>
      </c>
      <c r="B128" s="6">
        <v>112.28326843280099</v>
      </c>
    </row>
    <row r="129" spans="1:2" x14ac:dyDescent="0.25">
      <c r="A129" s="5">
        <v>45054</v>
      </c>
      <c r="B129" s="6">
        <v>563.63367293767101</v>
      </c>
    </row>
    <row r="130" spans="1:2" x14ac:dyDescent="0.25">
      <c r="A130" s="5">
        <v>45055</v>
      </c>
      <c r="B130" s="6">
        <v>247.526107857634</v>
      </c>
    </row>
    <row r="131" spans="1:2" x14ac:dyDescent="0.25">
      <c r="A131" s="5">
        <v>45056</v>
      </c>
      <c r="B131" s="6">
        <v>195.12160404069201</v>
      </c>
    </row>
    <row r="132" spans="1:2" x14ac:dyDescent="0.25">
      <c r="A132" s="5">
        <v>45057</v>
      </c>
      <c r="B132" s="6">
        <v>297.045452910253</v>
      </c>
    </row>
    <row r="133" spans="1:2" x14ac:dyDescent="0.25">
      <c r="A133" s="5">
        <v>45058</v>
      </c>
      <c r="B133" s="6">
        <v>359.15159518923298</v>
      </c>
    </row>
    <row r="134" spans="1:2" x14ac:dyDescent="0.25">
      <c r="A134" s="5">
        <v>45059</v>
      </c>
      <c r="B134" s="6">
        <v>208.97659009245999</v>
      </c>
    </row>
    <row r="135" spans="1:2" x14ac:dyDescent="0.25">
      <c r="A135" s="5">
        <v>45060</v>
      </c>
      <c r="B135" s="6">
        <v>178.771371460203</v>
      </c>
    </row>
    <row r="136" spans="1:2" x14ac:dyDescent="0.25">
      <c r="A136" s="5">
        <v>45061</v>
      </c>
      <c r="B136" s="6">
        <v>562.21840579272202</v>
      </c>
    </row>
    <row r="137" spans="1:2" x14ac:dyDescent="0.25">
      <c r="A137" s="5">
        <v>45062</v>
      </c>
      <c r="B137" s="6">
        <v>142.01613108690799</v>
      </c>
    </row>
    <row r="138" spans="1:2" x14ac:dyDescent="0.25">
      <c r="A138" s="5">
        <v>45063</v>
      </c>
      <c r="B138" s="6">
        <v>201.15506009989701</v>
      </c>
    </row>
    <row r="139" spans="1:2" x14ac:dyDescent="0.25">
      <c r="A139" s="5">
        <v>45064</v>
      </c>
      <c r="B139" s="6">
        <v>371.27266355303499</v>
      </c>
    </row>
    <row r="140" spans="1:2" x14ac:dyDescent="0.25">
      <c r="A140" s="5">
        <v>45065</v>
      </c>
      <c r="B140" s="6">
        <v>187.65474193027401</v>
      </c>
    </row>
    <row r="141" spans="1:2" x14ac:dyDescent="0.25">
      <c r="A141" s="5">
        <v>45066</v>
      </c>
      <c r="B141" s="6">
        <v>440.14620092574597</v>
      </c>
    </row>
    <row r="142" spans="1:2" x14ac:dyDescent="0.25">
      <c r="A142" s="5">
        <v>45067</v>
      </c>
      <c r="B142" s="6">
        <v>307.28274438536101</v>
      </c>
    </row>
    <row r="143" spans="1:2" x14ac:dyDescent="0.25">
      <c r="A143" s="5">
        <v>45068</v>
      </c>
      <c r="B143" s="6">
        <v>250.87802220960299</v>
      </c>
    </row>
    <row r="144" spans="1:2" x14ac:dyDescent="0.25">
      <c r="A144" s="5">
        <v>45069</v>
      </c>
      <c r="B144" s="6">
        <v>165.3110088</v>
      </c>
    </row>
    <row r="145" spans="1:2" x14ac:dyDescent="0.25">
      <c r="A145" s="5">
        <v>45070</v>
      </c>
      <c r="B145" s="6">
        <v>149.57708996676899</v>
      </c>
    </row>
    <row r="146" spans="1:2" x14ac:dyDescent="0.25">
      <c r="A146" s="5">
        <v>45071</v>
      </c>
      <c r="B146" s="6">
        <v>179.10177461525299</v>
      </c>
    </row>
    <row r="147" spans="1:2" x14ac:dyDescent="0.25">
      <c r="A147" s="5">
        <v>45072</v>
      </c>
      <c r="B147" s="6">
        <v>342.69125305853697</v>
      </c>
    </row>
    <row r="148" spans="1:2" x14ac:dyDescent="0.25">
      <c r="A148" s="5">
        <v>45073</v>
      </c>
      <c r="B148" s="6">
        <v>157.75497605134501</v>
      </c>
    </row>
    <row r="149" spans="1:2" x14ac:dyDescent="0.25">
      <c r="A149" s="5">
        <v>45074</v>
      </c>
      <c r="B149" s="6">
        <v>203.09657752432301</v>
      </c>
    </row>
    <row r="150" spans="1:2" x14ac:dyDescent="0.25">
      <c r="A150" s="5">
        <v>45075</v>
      </c>
      <c r="B150" s="6">
        <v>263.81401465609798</v>
      </c>
    </row>
    <row r="151" spans="1:2" x14ac:dyDescent="0.25">
      <c r="A151" s="5">
        <v>45076</v>
      </c>
      <c r="B151" s="6">
        <v>557.37063161745402</v>
      </c>
    </row>
    <row r="152" spans="1:2" x14ac:dyDescent="0.25">
      <c r="A152" s="5">
        <v>45077</v>
      </c>
      <c r="B152" s="6">
        <v>636.87741229754704</v>
      </c>
    </row>
    <row r="153" spans="1:2" x14ac:dyDescent="0.25">
      <c r="A153" s="5">
        <v>45078</v>
      </c>
      <c r="B153" s="6">
        <v>552.89911614575499</v>
      </c>
    </row>
    <row r="154" spans="1:2" x14ac:dyDescent="0.25">
      <c r="A154" s="5">
        <v>45079</v>
      </c>
      <c r="B154" s="6">
        <v>315.91787182394501</v>
      </c>
    </row>
    <row r="155" spans="1:2" x14ac:dyDescent="0.25">
      <c r="A155" s="5">
        <v>45080</v>
      </c>
      <c r="B155" s="6">
        <v>428.33805950608797</v>
      </c>
    </row>
    <row r="156" spans="1:2" x14ac:dyDescent="0.25">
      <c r="A156" s="5">
        <v>45081</v>
      </c>
      <c r="B156" s="6">
        <v>229.07493371053701</v>
      </c>
    </row>
    <row r="157" spans="1:2" x14ac:dyDescent="0.25">
      <c r="A157" s="5">
        <v>45082</v>
      </c>
      <c r="B157" s="6">
        <v>117.231282202128</v>
      </c>
    </row>
    <row r="158" spans="1:2" x14ac:dyDescent="0.25">
      <c r="A158" s="5">
        <v>45083</v>
      </c>
      <c r="B158" s="6">
        <v>175.01750184321099</v>
      </c>
    </row>
    <row r="159" spans="1:2" x14ac:dyDescent="0.25">
      <c r="A159" s="5">
        <v>45084</v>
      </c>
      <c r="B159" s="6">
        <v>232.59839604950099</v>
      </c>
    </row>
    <row r="160" spans="1:2" x14ac:dyDescent="0.25">
      <c r="A160" s="5">
        <v>45085</v>
      </c>
      <c r="B160" s="6">
        <v>105.690048477697</v>
      </c>
    </row>
    <row r="161" spans="1:2" x14ac:dyDescent="0.25">
      <c r="A161" s="5">
        <v>45086</v>
      </c>
      <c r="B161" s="6">
        <v>125.380144135336</v>
      </c>
    </row>
    <row r="162" spans="1:2" x14ac:dyDescent="0.25">
      <c r="A162" s="5">
        <v>45087</v>
      </c>
      <c r="B162" s="6">
        <v>153.049923772466</v>
      </c>
    </row>
    <row r="163" spans="1:2" x14ac:dyDescent="0.25">
      <c r="A163" s="5">
        <v>45088</v>
      </c>
      <c r="B163" s="6">
        <v>460.02329587849698</v>
      </c>
    </row>
    <row r="164" spans="1:2" x14ac:dyDescent="0.25">
      <c r="A164" s="5">
        <v>45089</v>
      </c>
      <c r="B164" s="6">
        <v>200.60740644236401</v>
      </c>
    </row>
    <row r="165" spans="1:2" x14ac:dyDescent="0.25">
      <c r="A165" s="5">
        <v>45090</v>
      </c>
      <c r="B165" s="6">
        <v>287.46920413629198</v>
      </c>
    </row>
    <row r="166" spans="1:2" x14ac:dyDescent="0.25">
      <c r="A166" s="5">
        <v>45091</v>
      </c>
      <c r="B166" s="6">
        <v>209.525167279892</v>
      </c>
    </row>
    <row r="167" spans="1:2" x14ac:dyDescent="0.25">
      <c r="A167" s="5">
        <v>45092</v>
      </c>
      <c r="B167" s="6">
        <v>275.391531981095</v>
      </c>
    </row>
    <row r="168" spans="1:2" x14ac:dyDescent="0.25">
      <c r="A168" s="5">
        <v>45093</v>
      </c>
      <c r="B168" s="6">
        <v>304.00176982149901</v>
      </c>
    </row>
    <row r="169" spans="1:2" x14ac:dyDescent="0.25">
      <c r="A169" s="5">
        <v>45094</v>
      </c>
      <c r="B169" s="6">
        <v>163.20654648040701</v>
      </c>
    </row>
    <row r="170" spans="1:2" x14ac:dyDescent="0.25">
      <c r="A170" s="5">
        <v>45095</v>
      </c>
      <c r="B170" s="6">
        <v>439.172329895975</v>
      </c>
    </row>
    <row r="171" spans="1:2" x14ac:dyDescent="0.25">
      <c r="A171" s="5">
        <v>45096</v>
      </c>
      <c r="B171" s="6">
        <v>152.91431714237501</v>
      </c>
    </row>
    <row r="172" spans="1:2" x14ac:dyDescent="0.25">
      <c r="A172" s="5">
        <v>45097</v>
      </c>
      <c r="B172" s="6">
        <v>561.08978311048304</v>
      </c>
    </row>
    <row r="173" spans="1:2" x14ac:dyDescent="0.25">
      <c r="A173" s="5">
        <v>45098</v>
      </c>
      <c r="B173" s="6">
        <v>180.22385099980301</v>
      </c>
    </row>
    <row r="174" spans="1:2" x14ac:dyDescent="0.25">
      <c r="A174" s="5">
        <v>45099</v>
      </c>
      <c r="B174" s="6">
        <v>346.55870627556197</v>
      </c>
    </row>
    <row r="175" spans="1:2" x14ac:dyDescent="0.25">
      <c r="A175" s="5">
        <v>45100</v>
      </c>
      <c r="B175" s="6">
        <v>273.82984319219997</v>
      </c>
    </row>
    <row r="176" spans="1:2" x14ac:dyDescent="0.25">
      <c r="A176" s="5">
        <v>45101</v>
      </c>
      <c r="B176" s="6">
        <v>311.31402549979799</v>
      </c>
    </row>
    <row r="177" spans="1:2" x14ac:dyDescent="0.25">
      <c r="A177" s="5">
        <v>45102</v>
      </c>
      <c r="B177" s="6">
        <v>80.060870863503894</v>
      </c>
    </row>
    <row r="178" spans="1:2" x14ac:dyDescent="0.25">
      <c r="A178" s="5">
        <v>45103</v>
      </c>
      <c r="B178" s="6">
        <v>138.65393649644199</v>
      </c>
    </row>
    <row r="179" spans="1:2" x14ac:dyDescent="0.25">
      <c r="A179" s="5">
        <v>45104</v>
      </c>
      <c r="B179" s="6">
        <v>324.993288183066</v>
      </c>
    </row>
    <row r="180" spans="1:2" x14ac:dyDescent="0.25">
      <c r="A180" s="5">
        <v>45105</v>
      </c>
      <c r="B180" s="6">
        <v>159.19767820486001</v>
      </c>
    </row>
    <row r="181" spans="1:2" x14ac:dyDescent="0.25">
      <c r="A181" s="5">
        <v>45106</v>
      </c>
      <c r="B181" s="6">
        <v>161.510667843683</v>
      </c>
    </row>
    <row r="182" spans="1:2" x14ac:dyDescent="0.25">
      <c r="A182" s="5">
        <v>45107</v>
      </c>
      <c r="B182" s="6">
        <v>211.80859393671</v>
      </c>
    </row>
    <row r="183" spans="1:2" x14ac:dyDescent="0.25">
      <c r="A183" s="5">
        <v>45108</v>
      </c>
      <c r="B183" s="6">
        <v>313.37684299945602</v>
      </c>
    </row>
    <row r="184" spans="1:2" x14ac:dyDescent="0.25">
      <c r="A184" s="5">
        <v>45109</v>
      </c>
      <c r="B184" s="6">
        <v>350.25217596642699</v>
      </c>
    </row>
    <row r="185" spans="1:2" x14ac:dyDescent="0.25">
      <c r="A185" s="5">
        <v>45110</v>
      </c>
      <c r="B185" s="6">
        <v>268.97543025806903</v>
      </c>
    </row>
    <row r="186" spans="1:2" x14ac:dyDescent="0.25">
      <c r="A186" s="5">
        <v>45111</v>
      </c>
      <c r="B186" s="6">
        <v>394.23798813274601</v>
      </c>
    </row>
    <row r="187" spans="1:2" x14ac:dyDescent="0.25">
      <c r="A187" s="5">
        <v>45112</v>
      </c>
      <c r="B187" s="6">
        <v>262.45037666761601</v>
      </c>
    </row>
    <row r="188" spans="1:2" x14ac:dyDescent="0.25">
      <c r="A188" s="5">
        <v>45113</v>
      </c>
      <c r="B188" s="6">
        <v>397.90859045952698</v>
      </c>
    </row>
    <row r="189" spans="1:2" x14ac:dyDescent="0.25">
      <c r="A189" s="5">
        <v>45114</v>
      </c>
      <c r="B189" s="6">
        <v>295.508981560363</v>
      </c>
    </row>
    <row r="190" spans="1:2" x14ac:dyDescent="0.25">
      <c r="A190" s="5">
        <v>45115</v>
      </c>
      <c r="B190" s="6">
        <v>142.05116311434799</v>
      </c>
    </row>
    <row r="191" spans="1:2" x14ac:dyDescent="0.25">
      <c r="A191" s="5">
        <v>45116</v>
      </c>
      <c r="B191" s="6">
        <v>305.64205009912899</v>
      </c>
    </row>
    <row r="192" spans="1:2" x14ac:dyDescent="0.25">
      <c r="A192" s="5">
        <v>45117</v>
      </c>
      <c r="B192" s="6">
        <v>140.42968048265001</v>
      </c>
    </row>
    <row r="193" spans="1:2" x14ac:dyDescent="0.25">
      <c r="A193" s="5">
        <v>45118</v>
      </c>
      <c r="B193" s="6">
        <v>78.148916178761894</v>
      </c>
    </row>
    <row r="194" spans="1:2" x14ac:dyDescent="0.25">
      <c r="A194" s="5">
        <v>45119</v>
      </c>
      <c r="B194" s="6">
        <v>314.91357593374198</v>
      </c>
    </row>
    <row r="195" spans="1:2" x14ac:dyDescent="0.25">
      <c r="A195" s="5">
        <v>45120</v>
      </c>
      <c r="B195" s="6">
        <v>392.67806254882697</v>
      </c>
    </row>
    <row r="196" spans="1:2" x14ac:dyDescent="0.25">
      <c r="A196" s="5">
        <v>45121</v>
      </c>
      <c r="B196" s="6">
        <v>362.418797129822</v>
      </c>
    </row>
    <row r="197" spans="1:2" x14ac:dyDescent="0.25">
      <c r="A197" s="5">
        <v>45122</v>
      </c>
      <c r="B197" s="6">
        <v>100.719093366938</v>
      </c>
    </row>
    <row r="198" spans="1:2" x14ac:dyDescent="0.25">
      <c r="A198" s="5">
        <v>45123</v>
      </c>
      <c r="B198" s="6">
        <v>235.26335667154299</v>
      </c>
    </row>
    <row r="199" spans="1:2" x14ac:dyDescent="0.25">
      <c r="A199" s="5">
        <v>45124</v>
      </c>
      <c r="B199" s="6">
        <v>307.06177236342398</v>
      </c>
    </row>
    <row r="200" spans="1:2" x14ac:dyDescent="0.25">
      <c r="A200" s="5">
        <v>45125</v>
      </c>
      <c r="B200" s="6">
        <v>519.84526049413705</v>
      </c>
    </row>
    <row r="201" spans="1:2" x14ac:dyDescent="0.25">
      <c r="A201" s="5">
        <v>45126</v>
      </c>
      <c r="B201" s="6">
        <v>338.55689288704502</v>
      </c>
    </row>
    <row r="202" spans="1:2" x14ac:dyDescent="0.25">
      <c r="A202" s="5">
        <v>45127</v>
      </c>
      <c r="B202" s="6">
        <v>143.496548388126</v>
      </c>
    </row>
    <row r="203" spans="1:2" x14ac:dyDescent="0.25">
      <c r="A203" s="5">
        <v>45128</v>
      </c>
      <c r="B203" s="6">
        <v>553.95605350000005</v>
      </c>
    </row>
    <row r="204" spans="1:2" x14ac:dyDescent="0.25">
      <c r="A204" s="5">
        <v>45129</v>
      </c>
      <c r="B204" s="6">
        <v>297.99748655150501</v>
      </c>
    </row>
    <row r="205" spans="1:2" x14ac:dyDescent="0.25">
      <c r="A205" s="5">
        <v>45130</v>
      </c>
      <c r="B205" s="6">
        <v>476.93123057487497</v>
      </c>
    </row>
    <row r="206" spans="1:2" x14ac:dyDescent="0.25">
      <c r="A206" s="5">
        <v>45131</v>
      </c>
      <c r="B206" s="6">
        <v>278.03190359331501</v>
      </c>
    </row>
    <row r="207" spans="1:2" x14ac:dyDescent="0.25">
      <c r="A207" s="5">
        <v>45132</v>
      </c>
      <c r="B207" s="6">
        <v>115.151286340506</v>
      </c>
    </row>
    <row r="208" spans="1:2" x14ac:dyDescent="0.25">
      <c r="A208" s="5">
        <v>45133</v>
      </c>
      <c r="B208" s="6">
        <v>443.59078406446702</v>
      </c>
    </row>
    <row r="209" spans="1:2" x14ac:dyDescent="0.25">
      <c r="A209" s="5">
        <v>45134</v>
      </c>
      <c r="B209" s="6">
        <v>105.8375044</v>
      </c>
    </row>
    <row r="210" spans="1:2" x14ac:dyDescent="0.25">
      <c r="A210" s="5">
        <v>45135</v>
      </c>
      <c r="B210" s="6">
        <v>314.00040369724502</v>
      </c>
    </row>
    <row r="211" spans="1:2" x14ac:dyDescent="0.25">
      <c r="A211" s="5">
        <v>45136</v>
      </c>
      <c r="B211" s="6">
        <v>337.14921459098798</v>
      </c>
    </row>
    <row r="212" spans="1:2" x14ac:dyDescent="0.25">
      <c r="A212" s="5">
        <v>45137</v>
      </c>
      <c r="B212" s="6">
        <v>397.67162081883799</v>
      </c>
    </row>
    <row r="213" spans="1:2" x14ac:dyDescent="0.25">
      <c r="A213" s="5">
        <v>45138</v>
      </c>
      <c r="B213" s="6">
        <v>340.35350391557802</v>
      </c>
    </row>
    <row r="214" spans="1:2" x14ac:dyDescent="0.25">
      <c r="A214" s="5">
        <v>45139</v>
      </c>
      <c r="B214" s="6">
        <v>222.49425478711501</v>
      </c>
    </row>
    <row r="215" spans="1:2" x14ac:dyDescent="0.25">
      <c r="A215" s="5">
        <v>45140</v>
      </c>
      <c r="B215" s="6">
        <v>214.458906313136</v>
      </c>
    </row>
    <row r="216" spans="1:2" x14ac:dyDescent="0.25">
      <c r="A216" s="5">
        <v>45141</v>
      </c>
      <c r="B216" s="6">
        <v>269.60583783342503</v>
      </c>
    </row>
    <row r="217" spans="1:2" x14ac:dyDescent="0.25">
      <c r="A217" s="5">
        <v>45142</v>
      </c>
      <c r="B217" s="6">
        <v>446.48886311974201</v>
      </c>
    </row>
    <row r="218" spans="1:2" x14ac:dyDescent="0.25">
      <c r="A218" s="5">
        <v>45143</v>
      </c>
      <c r="B218" s="6">
        <v>518.69628569999998</v>
      </c>
    </row>
    <row r="219" spans="1:2" x14ac:dyDescent="0.25">
      <c r="A219" s="5">
        <v>45144</v>
      </c>
      <c r="B219" s="6">
        <v>380.42364829816898</v>
      </c>
    </row>
    <row r="220" spans="1:2" x14ac:dyDescent="0.25">
      <c r="A220" s="5">
        <v>45145</v>
      </c>
      <c r="B220" s="6">
        <v>227.909774297105</v>
      </c>
    </row>
    <row r="221" spans="1:2" x14ac:dyDescent="0.25">
      <c r="A221" s="5">
        <v>45146</v>
      </c>
      <c r="B221" s="6">
        <v>296.60479823213899</v>
      </c>
    </row>
    <row r="222" spans="1:2" x14ac:dyDescent="0.25">
      <c r="A222" s="5">
        <v>45147</v>
      </c>
      <c r="B222" s="6">
        <v>113.262065392406</v>
      </c>
    </row>
    <row r="223" spans="1:2" x14ac:dyDescent="0.25">
      <c r="A223" s="5">
        <v>45148</v>
      </c>
      <c r="B223" s="6">
        <v>183.83038630196299</v>
      </c>
    </row>
    <row r="224" spans="1:2" x14ac:dyDescent="0.25">
      <c r="A224" s="5">
        <v>45149</v>
      </c>
      <c r="B224" s="6">
        <v>146.929611722836</v>
      </c>
    </row>
    <row r="225" spans="1:2" x14ac:dyDescent="0.25">
      <c r="A225" s="5">
        <v>45150</v>
      </c>
      <c r="B225" s="6">
        <v>362.64235106781803</v>
      </c>
    </row>
    <row r="226" spans="1:2" x14ac:dyDescent="0.25">
      <c r="A226" s="5">
        <v>45151</v>
      </c>
      <c r="B226" s="6">
        <v>298.79125647475399</v>
      </c>
    </row>
    <row r="227" spans="1:2" x14ac:dyDescent="0.25">
      <c r="A227" s="5">
        <v>45152</v>
      </c>
      <c r="B227" s="6">
        <v>139.574640460757</v>
      </c>
    </row>
    <row r="228" spans="1:2" x14ac:dyDescent="0.25">
      <c r="A228" s="5">
        <v>45153</v>
      </c>
      <c r="B228" s="6">
        <v>155.426433317662</v>
      </c>
    </row>
    <row r="229" spans="1:2" x14ac:dyDescent="0.25">
      <c r="A229" s="5">
        <v>45154</v>
      </c>
      <c r="B229" s="6">
        <v>307.29814979261499</v>
      </c>
    </row>
    <row r="230" spans="1:2" x14ac:dyDescent="0.25">
      <c r="A230" s="5">
        <v>45155</v>
      </c>
      <c r="B230" s="6">
        <v>127.752108739495</v>
      </c>
    </row>
    <row r="231" spans="1:2" x14ac:dyDescent="0.25">
      <c r="A231" s="5">
        <v>45156</v>
      </c>
      <c r="B231" s="6">
        <v>516.25911559999997</v>
      </c>
    </row>
    <row r="232" spans="1:2" x14ac:dyDescent="0.25">
      <c r="A232" s="5">
        <v>45157</v>
      </c>
      <c r="B232" s="6">
        <v>121.846910285539</v>
      </c>
    </row>
    <row r="233" spans="1:2" x14ac:dyDescent="0.25">
      <c r="A233" s="5">
        <v>45158</v>
      </c>
      <c r="B233" s="6">
        <v>400.297082993331</v>
      </c>
    </row>
    <row r="234" spans="1:2" x14ac:dyDescent="0.25">
      <c r="A234" s="5">
        <v>45159</v>
      </c>
      <c r="B234" s="6">
        <v>154.95194749958401</v>
      </c>
    </row>
    <row r="235" spans="1:2" x14ac:dyDescent="0.25">
      <c r="A235" s="5">
        <v>45160</v>
      </c>
      <c r="B235" s="6">
        <v>184.016295841415</v>
      </c>
    </row>
    <row r="236" spans="1:2" x14ac:dyDescent="0.25">
      <c r="A236" s="5">
        <v>45161</v>
      </c>
      <c r="B236" s="6">
        <v>169.54673357306299</v>
      </c>
    </row>
    <row r="237" spans="1:2" x14ac:dyDescent="0.25">
      <c r="A237" s="5">
        <v>45162</v>
      </c>
      <c r="B237" s="6">
        <v>234.458042405127</v>
      </c>
    </row>
    <row r="238" spans="1:2" x14ac:dyDescent="0.25">
      <c r="A238" s="5">
        <v>45163</v>
      </c>
      <c r="B238" s="6">
        <v>213.74153438602099</v>
      </c>
    </row>
    <row r="239" spans="1:2" x14ac:dyDescent="0.25">
      <c r="A239" s="5">
        <v>45164</v>
      </c>
      <c r="B239" s="6">
        <v>161.232706241367</v>
      </c>
    </row>
    <row r="240" spans="1:2" x14ac:dyDescent="0.25">
      <c r="A240" s="5">
        <v>45165</v>
      </c>
      <c r="B240" s="6">
        <v>184.64141672933201</v>
      </c>
    </row>
    <row r="241" spans="1:2" x14ac:dyDescent="0.25">
      <c r="A241" s="5">
        <v>45166</v>
      </c>
      <c r="B241" s="6">
        <v>67.942790991796699</v>
      </c>
    </row>
    <row r="242" spans="1:2" x14ac:dyDescent="0.25">
      <c r="A242" s="5">
        <v>45167</v>
      </c>
      <c r="B242" s="6">
        <v>302.26256803764699</v>
      </c>
    </row>
    <row r="243" spans="1:2" x14ac:dyDescent="0.25">
      <c r="A243" s="5">
        <v>45168</v>
      </c>
      <c r="B243" s="6">
        <v>109.016980365717</v>
      </c>
    </row>
    <row r="244" spans="1:2" x14ac:dyDescent="0.25">
      <c r="A244" s="5">
        <v>45169</v>
      </c>
      <c r="B244" s="6">
        <v>207.384492659579</v>
      </c>
    </row>
    <row r="245" spans="1:2" x14ac:dyDescent="0.25">
      <c r="A245" s="5">
        <v>45170</v>
      </c>
      <c r="B245" s="6">
        <v>101.51934350000001</v>
      </c>
    </row>
    <row r="246" spans="1:2" x14ac:dyDescent="0.25">
      <c r="A246" s="5">
        <v>45171</v>
      </c>
      <c r="B246" s="6">
        <v>333.72392702620101</v>
      </c>
    </row>
    <row r="247" spans="1:2" x14ac:dyDescent="0.25">
      <c r="A247" s="5">
        <v>45172</v>
      </c>
      <c r="B247" s="6">
        <v>280.15856361277503</v>
      </c>
    </row>
    <row r="248" spans="1:2" x14ac:dyDescent="0.25">
      <c r="A248" s="5">
        <v>45173</v>
      </c>
      <c r="B248" s="6">
        <v>256.07393870749502</v>
      </c>
    </row>
    <row r="249" spans="1:2" x14ac:dyDescent="0.25">
      <c r="A249" s="5">
        <v>45174</v>
      </c>
      <c r="B249" s="6">
        <v>241.95626594511501</v>
      </c>
    </row>
    <row r="250" spans="1:2" x14ac:dyDescent="0.25">
      <c r="A250" s="5">
        <v>45175</v>
      </c>
      <c r="B250" s="6">
        <v>140.99779525022601</v>
      </c>
    </row>
    <row r="251" spans="1:2" x14ac:dyDescent="0.25">
      <c r="A251" s="5">
        <v>45176</v>
      </c>
      <c r="B251" s="6">
        <v>235.04698782346</v>
      </c>
    </row>
    <row r="252" spans="1:2" x14ac:dyDescent="0.25">
      <c r="A252" s="5">
        <v>45177</v>
      </c>
      <c r="B252" s="6">
        <v>226.47949579249101</v>
      </c>
    </row>
    <row r="253" spans="1:2" x14ac:dyDescent="0.25">
      <c r="A253" s="5">
        <v>45178</v>
      </c>
      <c r="B253" s="6">
        <v>137.37028769691099</v>
      </c>
    </row>
    <row r="254" spans="1:2" x14ac:dyDescent="0.25">
      <c r="A254" s="5">
        <v>45179</v>
      </c>
      <c r="B254" s="6">
        <v>630.16800081592498</v>
      </c>
    </row>
    <row r="255" spans="1:2" x14ac:dyDescent="0.25">
      <c r="A255" s="5">
        <v>45180</v>
      </c>
      <c r="B255" s="6">
        <v>339.33564462374198</v>
      </c>
    </row>
    <row r="256" spans="1:2" x14ac:dyDescent="0.25">
      <c r="A256" s="5">
        <v>45181</v>
      </c>
      <c r="B256" s="6">
        <v>160.572918347034</v>
      </c>
    </row>
    <row r="257" spans="1:2" x14ac:dyDescent="0.25">
      <c r="A257" s="5">
        <v>45182</v>
      </c>
      <c r="B257" s="6">
        <v>183.07586282335299</v>
      </c>
    </row>
    <row r="258" spans="1:2" x14ac:dyDescent="0.25">
      <c r="A258" s="5">
        <v>45183</v>
      </c>
      <c r="B258" s="6">
        <v>167.42725184880601</v>
      </c>
    </row>
    <row r="259" spans="1:2" x14ac:dyDescent="0.25">
      <c r="A259" s="5">
        <v>45184</v>
      </c>
      <c r="B259" s="6">
        <v>127.155975262377</v>
      </c>
    </row>
    <row r="260" spans="1:2" x14ac:dyDescent="0.25">
      <c r="A260" s="5">
        <v>45185</v>
      </c>
      <c r="B260" s="6">
        <v>208.75868309273699</v>
      </c>
    </row>
    <row r="261" spans="1:2" x14ac:dyDescent="0.25">
      <c r="A261" s="5">
        <v>45186</v>
      </c>
      <c r="B261" s="6">
        <v>356.76088385114201</v>
      </c>
    </row>
    <row r="262" spans="1:2" x14ac:dyDescent="0.25">
      <c r="A262" s="5">
        <v>45187</v>
      </c>
      <c r="B262" s="6">
        <v>88.943056312944904</v>
      </c>
    </row>
    <row r="263" spans="1:2" x14ac:dyDescent="0.25">
      <c r="A263" s="5">
        <v>45188</v>
      </c>
      <c r="B263" s="6">
        <v>369.64211876929198</v>
      </c>
    </row>
    <row r="264" spans="1:2" x14ac:dyDescent="0.25">
      <c r="A264" s="5">
        <v>45189</v>
      </c>
      <c r="B264" s="6">
        <v>119.898110446499</v>
      </c>
    </row>
    <row r="265" spans="1:2" x14ac:dyDescent="0.25">
      <c r="A265" s="5">
        <v>45190</v>
      </c>
      <c r="B265" s="6">
        <v>161.352592562458</v>
      </c>
    </row>
    <row r="266" spans="1:2" x14ac:dyDescent="0.25">
      <c r="A266" s="5">
        <v>45191</v>
      </c>
      <c r="B266" s="6">
        <v>146.46982770374001</v>
      </c>
    </row>
    <row r="267" spans="1:2" x14ac:dyDescent="0.25">
      <c r="A267" s="5">
        <v>45192</v>
      </c>
      <c r="B267" s="6">
        <v>263.01123525423901</v>
      </c>
    </row>
    <row r="268" spans="1:2" x14ac:dyDescent="0.25">
      <c r="A268" s="5">
        <v>45193</v>
      </c>
      <c r="B268" s="6">
        <v>254.99663242036101</v>
      </c>
    </row>
    <row r="269" spans="1:2" x14ac:dyDescent="0.25">
      <c r="A269" s="5">
        <v>45194</v>
      </c>
      <c r="B269" s="6">
        <v>220.33271496811</v>
      </c>
    </row>
    <row r="270" spans="1:2" x14ac:dyDescent="0.25">
      <c r="A270" s="5">
        <v>45195</v>
      </c>
      <c r="B270" s="6">
        <v>215.02177251813399</v>
      </c>
    </row>
    <row r="271" spans="1:2" x14ac:dyDescent="0.25">
      <c r="A271" s="5">
        <v>45196</v>
      </c>
      <c r="B271" s="6">
        <v>167.27893631422199</v>
      </c>
    </row>
    <row r="272" spans="1:2" x14ac:dyDescent="0.25">
      <c r="A272" s="5">
        <v>45197</v>
      </c>
      <c r="B272" s="6">
        <v>200.96097822537101</v>
      </c>
    </row>
    <row r="273" spans="1:2" x14ac:dyDescent="0.25">
      <c r="A273" s="5">
        <v>45198</v>
      </c>
      <c r="B273" s="6">
        <v>216.31650490000001</v>
      </c>
    </row>
    <row r="274" spans="1:2" x14ac:dyDescent="0.25">
      <c r="A274" s="5">
        <v>45199</v>
      </c>
      <c r="B274" s="6">
        <v>309.22644010815901</v>
      </c>
    </row>
    <row r="275" spans="1:2" x14ac:dyDescent="0.25">
      <c r="A275" s="5">
        <v>45200</v>
      </c>
      <c r="B275" s="6">
        <v>363.53660425812899</v>
      </c>
    </row>
    <row r="276" spans="1:2" x14ac:dyDescent="0.25">
      <c r="A276" s="5">
        <v>45201</v>
      </c>
      <c r="B276" s="6">
        <v>336.01768225793398</v>
      </c>
    </row>
    <row r="277" spans="1:2" x14ac:dyDescent="0.25">
      <c r="A277" s="5">
        <v>45202</v>
      </c>
      <c r="B277" s="6">
        <v>196.89721630128099</v>
      </c>
    </row>
    <row r="278" spans="1:2" x14ac:dyDescent="0.25">
      <c r="A278" s="5">
        <v>45203</v>
      </c>
      <c r="B278" s="6">
        <v>140.59231016340601</v>
      </c>
    </row>
    <row r="279" spans="1:2" x14ac:dyDescent="0.25">
      <c r="A279" s="5">
        <v>45204</v>
      </c>
      <c r="B279" s="6">
        <v>75.189017927423393</v>
      </c>
    </row>
    <row r="280" spans="1:2" x14ac:dyDescent="0.25">
      <c r="A280" s="5">
        <v>45205</v>
      </c>
      <c r="B280" s="6">
        <v>241.13789503513499</v>
      </c>
    </row>
    <row r="281" spans="1:2" x14ac:dyDescent="0.25">
      <c r="A281" s="5">
        <v>45206</v>
      </c>
      <c r="B281" s="6">
        <v>212.81451019447101</v>
      </c>
    </row>
    <row r="282" spans="1:2" x14ac:dyDescent="0.25">
      <c r="A282" s="5">
        <v>45207</v>
      </c>
      <c r="B282" s="6">
        <v>354.25121573506902</v>
      </c>
    </row>
    <row r="283" spans="1:2" x14ac:dyDescent="0.25">
      <c r="A283" s="5">
        <v>45208</v>
      </c>
      <c r="B283" s="6">
        <v>144.804289881285</v>
      </c>
    </row>
    <row r="284" spans="1:2" x14ac:dyDescent="0.25">
      <c r="A284" s="5">
        <v>45209</v>
      </c>
      <c r="B284" s="6">
        <v>83.083873150000002</v>
      </c>
    </row>
    <row r="285" spans="1:2" x14ac:dyDescent="0.25">
      <c r="A285" s="5">
        <v>45210</v>
      </c>
      <c r="B285" s="6">
        <v>424.57987961403597</v>
      </c>
    </row>
    <row r="286" spans="1:2" x14ac:dyDescent="0.25">
      <c r="A286" s="5">
        <v>45211</v>
      </c>
      <c r="B286" s="6">
        <v>416.17005700774001</v>
      </c>
    </row>
    <row r="287" spans="1:2" x14ac:dyDescent="0.25">
      <c r="A287" s="5">
        <v>45212</v>
      </c>
      <c r="B287" s="6">
        <v>215.53618360050299</v>
      </c>
    </row>
    <row r="288" spans="1:2" x14ac:dyDescent="0.25">
      <c r="A288" s="5">
        <v>45213</v>
      </c>
      <c r="B288" s="6">
        <v>227.58751733008501</v>
      </c>
    </row>
    <row r="289" spans="1:2" x14ac:dyDescent="0.25">
      <c r="A289" s="5">
        <v>45214</v>
      </c>
      <c r="B289" s="6">
        <v>94.038922080000006</v>
      </c>
    </row>
    <row r="290" spans="1:2" x14ac:dyDescent="0.25">
      <c r="A290" s="5">
        <v>45215</v>
      </c>
      <c r="B290" s="6">
        <v>135.893111812207</v>
      </c>
    </row>
    <row r="291" spans="1:2" x14ac:dyDescent="0.25">
      <c r="A291" s="5">
        <v>45216</v>
      </c>
      <c r="B291" s="6">
        <v>313.42602310000001</v>
      </c>
    </row>
    <row r="292" spans="1:2" x14ac:dyDescent="0.25">
      <c r="A292" s="5">
        <v>45217</v>
      </c>
      <c r="B292" s="6">
        <v>155.30566057752</v>
      </c>
    </row>
    <row r="293" spans="1:2" x14ac:dyDescent="0.25">
      <c r="A293" s="5">
        <v>45218</v>
      </c>
      <c r="B293" s="6">
        <v>132.811237567528</v>
      </c>
    </row>
    <row r="294" spans="1:2" x14ac:dyDescent="0.25">
      <c r="A294" s="5">
        <v>45219</v>
      </c>
      <c r="B294" s="6">
        <v>379.33594944213399</v>
      </c>
    </row>
    <row r="295" spans="1:2" x14ac:dyDescent="0.25">
      <c r="A295" s="5">
        <v>45220</v>
      </c>
      <c r="B295" s="6">
        <v>149.73025325836699</v>
      </c>
    </row>
    <row r="296" spans="1:2" x14ac:dyDescent="0.25">
      <c r="A296" s="5">
        <v>45221</v>
      </c>
      <c r="B296" s="6">
        <v>310.12652459873198</v>
      </c>
    </row>
    <row r="297" spans="1:2" x14ac:dyDescent="0.25">
      <c r="A297" s="5">
        <v>45222</v>
      </c>
      <c r="B297" s="6">
        <v>222.41974290033301</v>
      </c>
    </row>
    <row r="298" spans="1:2" x14ac:dyDescent="0.25">
      <c r="A298" s="5">
        <v>45223</v>
      </c>
      <c r="B298" s="6">
        <v>212.11142011698999</v>
      </c>
    </row>
    <row r="299" spans="1:2" x14ac:dyDescent="0.25">
      <c r="A299" s="5">
        <v>45224</v>
      </c>
      <c r="B299" s="6">
        <v>382.43828938754899</v>
      </c>
    </row>
    <row r="300" spans="1:2" x14ac:dyDescent="0.25">
      <c r="A300" s="5">
        <v>45225</v>
      </c>
      <c r="B300" s="6">
        <v>268.60342011284098</v>
      </c>
    </row>
    <row r="301" spans="1:2" x14ac:dyDescent="0.25">
      <c r="A301" s="5">
        <v>45226</v>
      </c>
      <c r="B301" s="6">
        <v>191.313721066234</v>
      </c>
    </row>
    <row r="302" spans="1:2" x14ac:dyDescent="0.25">
      <c r="A302" s="5">
        <v>45227</v>
      </c>
      <c r="B302" s="6">
        <v>146.250432169139</v>
      </c>
    </row>
    <row r="303" spans="1:2" x14ac:dyDescent="0.25">
      <c r="A303" s="5">
        <v>45228</v>
      </c>
      <c r="B303" s="6">
        <v>66.338132004805999</v>
      </c>
    </row>
    <row r="304" spans="1:2" x14ac:dyDescent="0.25">
      <c r="A304" s="5">
        <v>45229</v>
      </c>
      <c r="B304" s="6">
        <v>326.48468459999998</v>
      </c>
    </row>
    <row r="305" spans="1:2" x14ac:dyDescent="0.25">
      <c r="A305" s="5">
        <v>45230</v>
      </c>
      <c r="B305" s="6">
        <v>71.540395514655003</v>
      </c>
    </row>
    <row r="306" spans="1:2" x14ac:dyDescent="0.25">
      <c r="A306" s="5">
        <v>45231</v>
      </c>
      <c r="B306" s="6">
        <v>209.59692544915501</v>
      </c>
    </row>
    <row r="307" spans="1:2" x14ac:dyDescent="0.25">
      <c r="A307" s="5">
        <v>45232</v>
      </c>
      <c r="B307" s="6">
        <v>337.73341093666801</v>
      </c>
    </row>
    <row r="308" spans="1:2" x14ac:dyDescent="0.25">
      <c r="A308" s="5">
        <v>45233</v>
      </c>
      <c r="B308" s="6">
        <v>275.56251784161401</v>
      </c>
    </row>
    <row r="309" spans="1:2" x14ac:dyDescent="0.25">
      <c r="A309" s="5">
        <v>45234</v>
      </c>
      <c r="B309" s="6">
        <v>225.729536880323</v>
      </c>
    </row>
    <row r="310" spans="1:2" x14ac:dyDescent="0.25">
      <c r="A310" s="5">
        <v>45235</v>
      </c>
      <c r="B310" s="6">
        <v>367.96236823703703</v>
      </c>
    </row>
    <row r="311" spans="1:2" x14ac:dyDescent="0.25">
      <c r="A311" s="5">
        <v>45236</v>
      </c>
      <c r="B311" s="6">
        <v>103.646921671689</v>
      </c>
    </row>
    <row r="312" spans="1:2" x14ac:dyDescent="0.25">
      <c r="A312" s="5">
        <v>45237</v>
      </c>
      <c r="B312" s="6">
        <v>122.98471249365799</v>
      </c>
    </row>
    <row r="313" spans="1:2" x14ac:dyDescent="0.25">
      <c r="A313" s="5">
        <v>45238</v>
      </c>
      <c r="B313" s="6">
        <v>149.51835498182299</v>
      </c>
    </row>
    <row r="314" spans="1:2" x14ac:dyDescent="0.25">
      <c r="A314" s="5">
        <v>45239</v>
      </c>
      <c r="B314" s="6">
        <v>209.37779836874199</v>
      </c>
    </row>
    <row r="315" spans="1:2" x14ac:dyDescent="0.25">
      <c r="A315" s="5">
        <v>45240</v>
      </c>
      <c r="B315" s="6">
        <v>289.84957136990101</v>
      </c>
    </row>
    <row r="316" spans="1:2" x14ac:dyDescent="0.25">
      <c r="A316" s="5">
        <v>45241</v>
      </c>
      <c r="B316" s="6">
        <v>162.62091105674699</v>
      </c>
    </row>
    <row r="317" spans="1:2" x14ac:dyDescent="0.25">
      <c r="A317" s="5">
        <v>45242</v>
      </c>
      <c r="B317" s="6">
        <v>115.067919514057</v>
      </c>
    </row>
    <row r="318" spans="1:2" x14ac:dyDescent="0.25">
      <c r="A318" s="5">
        <v>45243</v>
      </c>
      <c r="B318" s="6">
        <v>187.85873344302999</v>
      </c>
    </row>
    <row r="319" spans="1:2" x14ac:dyDescent="0.25">
      <c r="A319" s="5">
        <v>45244</v>
      </c>
      <c r="B319" s="6">
        <v>145.813163426264</v>
      </c>
    </row>
    <row r="320" spans="1:2" x14ac:dyDescent="0.25">
      <c r="A320" s="5">
        <v>45245</v>
      </c>
      <c r="B320" s="6">
        <v>367.56742164873498</v>
      </c>
    </row>
    <row r="321" spans="1:2" x14ac:dyDescent="0.25">
      <c r="A321" s="5">
        <v>45246</v>
      </c>
      <c r="B321" s="6">
        <v>213.23276520426001</v>
      </c>
    </row>
    <row r="322" spans="1:2" x14ac:dyDescent="0.25">
      <c r="A322" s="5">
        <v>45247</v>
      </c>
      <c r="B322" s="6">
        <v>498.01366535174998</v>
      </c>
    </row>
    <row r="323" spans="1:2" x14ac:dyDescent="0.25">
      <c r="A323" s="5">
        <v>45248</v>
      </c>
      <c r="B323" s="6">
        <v>171.704003618402</v>
      </c>
    </row>
    <row r="324" spans="1:2" x14ac:dyDescent="0.25">
      <c r="A324" s="5">
        <v>45249</v>
      </c>
      <c r="B324" s="6">
        <v>162.79702696444099</v>
      </c>
    </row>
    <row r="325" spans="1:2" x14ac:dyDescent="0.25">
      <c r="A325" s="5">
        <v>45250</v>
      </c>
      <c r="B325" s="6">
        <v>522.06231344355103</v>
      </c>
    </row>
    <row r="326" spans="1:2" x14ac:dyDescent="0.25">
      <c r="A326" s="5">
        <v>45251</v>
      </c>
      <c r="B326" s="6">
        <v>445.705052840321</v>
      </c>
    </row>
    <row r="327" spans="1:2" x14ac:dyDescent="0.25">
      <c r="A327" s="5">
        <v>45252</v>
      </c>
      <c r="B327" s="6">
        <v>118.122335819927</v>
      </c>
    </row>
    <row r="328" spans="1:2" x14ac:dyDescent="0.25">
      <c r="A328" s="5">
        <v>45253</v>
      </c>
      <c r="B328" s="6">
        <v>159.181593459688</v>
      </c>
    </row>
    <row r="329" spans="1:2" x14ac:dyDescent="0.25">
      <c r="A329" s="5">
        <v>45254</v>
      </c>
      <c r="B329" s="6">
        <v>97.304520381281804</v>
      </c>
    </row>
    <row r="330" spans="1:2" x14ac:dyDescent="0.25">
      <c r="A330" s="5">
        <v>45255</v>
      </c>
      <c r="B330" s="6">
        <v>379.69971621093498</v>
      </c>
    </row>
    <row r="331" spans="1:2" x14ac:dyDescent="0.25">
      <c r="A331" s="5">
        <v>45256</v>
      </c>
      <c r="B331" s="6">
        <v>210.61302432358499</v>
      </c>
    </row>
    <row r="332" spans="1:2" x14ac:dyDescent="0.25">
      <c r="A332" s="5">
        <v>45257</v>
      </c>
      <c r="B332" s="6">
        <v>184.429641789383</v>
      </c>
    </row>
    <row r="333" spans="1:2" x14ac:dyDescent="0.25">
      <c r="A333" s="5">
        <v>45258</v>
      </c>
      <c r="B333" s="6">
        <v>285.21124729836401</v>
      </c>
    </row>
    <row r="334" spans="1:2" x14ac:dyDescent="0.25">
      <c r="A334" s="5">
        <v>45259</v>
      </c>
      <c r="B334" s="6">
        <v>242.754515443635</v>
      </c>
    </row>
    <row r="335" spans="1:2" x14ac:dyDescent="0.25">
      <c r="A335" s="5">
        <v>45260</v>
      </c>
      <c r="B335" s="6">
        <v>391.22230776104499</v>
      </c>
    </row>
    <row r="336" spans="1:2" x14ac:dyDescent="0.25">
      <c r="A336" s="5">
        <v>45261</v>
      </c>
      <c r="B336" s="6">
        <v>190.608814802506</v>
      </c>
    </row>
    <row r="337" spans="1:2" x14ac:dyDescent="0.25">
      <c r="A337" s="5">
        <v>45262</v>
      </c>
      <c r="B337" s="6">
        <v>213.74916242235301</v>
      </c>
    </row>
    <row r="338" spans="1:2" x14ac:dyDescent="0.25">
      <c r="A338" s="5">
        <v>45263</v>
      </c>
      <c r="B338" s="6">
        <v>267.81903683722697</v>
      </c>
    </row>
    <row r="339" spans="1:2" x14ac:dyDescent="0.25">
      <c r="A339" s="5">
        <v>45264</v>
      </c>
      <c r="B339" s="6">
        <v>176.47098593071701</v>
      </c>
    </row>
    <row r="340" spans="1:2" x14ac:dyDescent="0.25">
      <c r="A340" s="5">
        <v>45265</v>
      </c>
      <c r="B340" s="6">
        <v>365.85503044751903</v>
      </c>
    </row>
    <row r="341" spans="1:2" x14ac:dyDescent="0.25">
      <c r="A341" s="5">
        <v>45266</v>
      </c>
      <c r="B341" s="6">
        <v>154.54596454051199</v>
      </c>
    </row>
    <row r="342" spans="1:2" x14ac:dyDescent="0.25">
      <c r="A342" s="5">
        <v>45267</v>
      </c>
      <c r="B342" s="6">
        <v>145.04765309560801</v>
      </c>
    </row>
    <row r="343" spans="1:2" x14ac:dyDescent="0.25">
      <c r="A343" s="5">
        <v>45268</v>
      </c>
      <c r="B343" s="6">
        <v>95.813607135384103</v>
      </c>
    </row>
    <row r="344" spans="1:2" x14ac:dyDescent="0.25">
      <c r="A344" s="5">
        <v>45269</v>
      </c>
      <c r="B344" s="6">
        <v>327.12903705027702</v>
      </c>
    </row>
    <row r="345" spans="1:2" x14ac:dyDescent="0.25">
      <c r="A345" s="5">
        <v>45270</v>
      </c>
      <c r="B345" s="6">
        <v>334.407732688257</v>
      </c>
    </row>
    <row r="346" spans="1:2" x14ac:dyDescent="0.25">
      <c r="A346" s="5">
        <v>45271</v>
      </c>
      <c r="B346" s="6">
        <v>316.54284343151602</v>
      </c>
    </row>
    <row r="347" spans="1:2" x14ac:dyDescent="0.25">
      <c r="A347" s="5">
        <v>45272</v>
      </c>
      <c r="B347" s="6">
        <v>289.61583717263898</v>
      </c>
    </row>
    <row r="348" spans="1:2" x14ac:dyDescent="0.25">
      <c r="A348" s="5">
        <v>45273</v>
      </c>
      <c r="B348" s="6">
        <v>9.7956962450000002</v>
      </c>
    </row>
    <row r="349" spans="1:2" x14ac:dyDescent="0.25">
      <c r="A349" s="5">
        <v>45274</v>
      </c>
      <c r="B349" s="6">
        <v>317.12833931416998</v>
      </c>
    </row>
    <row r="350" spans="1:2" x14ac:dyDescent="0.25">
      <c r="A350" s="5">
        <v>45275</v>
      </c>
      <c r="B350" s="6">
        <v>300.290698702356</v>
      </c>
    </row>
    <row r="351" spans="1:2" x14ac:dyDescent="0.25">
      <c r="A351" s="5">
        <v>45276</v>
      </c>
      <c r="B351" s="6">
        <v>385.602781852833</v>
      </c>
    </row>
    <row r="352" spans="1:2" x14ac:dyDescent="0.25">
      <c r="A352" s="5">
        <v>45277</v>
      </c>
      <c r="B352" s="6">
        <v>132.39034681739699</v>
      </c>
    </row>
    <row r="353" spans="1:2" x14ac:dyDescent="0.25">
      <c r="A353" s="5">
        <v>45278</v>
      </c>
      <c r="B353" s="6">
        <v>239.97484993901199</v>
      </c>
    </row>
    <row r="354" spans="1:2" x14ac:dyDescent="0.25">
      <c r="A354" s="5">
        <v>45279</v>
      </c>
      <c r="B354" s="6">
        <v>222.40692019093601</v>
      </c>
    </row>
    <row r="355" spans="1:2" x14ac:dyDescent="0.25">
      <c r="A355" s="5">
        <v>45280</v>
      </c>
      <c r="B355" s="6">
        <v>289.25681833369299</v>
      </c>
    </row>
    <row r="356" spans="1:2" x14ac:dyDescent="0.25">
      <c r="A356" s="5">
        <v>45281</v>
      </c>
      <c r="B356" s="6">
        <v>186.899876102501</v>
      </c>
    </row>
    <row r="357" spans="1:2" x14ac:dyDescent="0.25">
      <c r="A357" s="5">
        <v>45282</v>
      </c>
      <c r="B357" s="6">
        <v>274.34325951622202</v>
      </c>
    </row>
    <row r="358" spans="1:2" x14ac:dyDescent="0.25">
      <c r="A358" s="5">
        <v>45283</v>
      </c>
      <c r="B358" s="6">
        <v>355.00138049999998</v>
      </c>
    </row>
    <row r="359" spans="1:2" x14ac:dyDescent="0.25">
      <c r="A359" s="5">
        <v>45284</v>
      </c>
      <c r="B359" s="6">
        <v>209.82466551493499</v>
      </c>
    </row>
    <row r="360" spans="1:2" x14ac:dyDescent="0.25">
      <c r="A360" s="5">
        <v>45285</v>
      </c>
      <c r="B360" s="6">
        <v>79.2077512360094</v>
      </c>
    </row>
    <row r="361" spans="1:2" x14ac:dyDescent="0.25">
      <c r="A361" s="5">
        <v>45286</v>
      </c>
      <c r="B361" s="6">
        <v>282.20426889994502</v>
      </c>
    </row>
    <row r="362" spans="1:2" x14ac:dyDescent="0.25">
      <c r="A362" s="5">
        <v>45287</v>
      </c>
      <c r="B362" s="6">
        <v>306.823140931887</v>
      </c>
    </row>
    <row r="363" spans="1:2" x14ac:dyDescent="0.25">
      <c r="A363" s="5">
        <v>45288</v>
      </c>
      <c r="B363" s="6">
        <v>450.77447115768899</v>
      </c>
    </row>
    <row r="364" spans="1:2" x14ac:dyDescent="0.25">
      <c r="A364" s="5">
        <v>45289</v>
      </c>
      <c r="B364" s="6">
        <v>407.59552367435703</v>
      </c>
    </row>
    <row r="365" spans="1:2" x14ac:dyDescent="0.25">
      <c r="A365" s="5">
        <v>45290</v>
      </c>
      <c r="B365" s="6">
        <v>113.51918706319</v>
      </c>
    </row>
    <row r="366" spans="1:2" x14ac:dyDescent="0.25">
      <c r="A366" s="5">
        <v>45291</v>
      </c>
      <c r="B366" s="6">
        <v>260.57701466835101</v>
      </c>
    </row>
    <row r="367" spans="1:2" x14ac:dyDescent="0.25">
      <c r="A367" s="5">
        <v>45292</v>
      </c>
      <c r="B367" s="6">
        <v>313.53854745817</v>
      </c>
    </row>
    <row r="368" spans="1:2" x14ac:dyDescent="0.25">
      <c r="A368" s="5">
        <v>45293</v>
      </c>
      <c r="B368" s="6">
        <v>389.04225379341801</v>
      </c>
    </row>
    <row r="369" spans="1:2" x14ac:dyDescent="0.25">
      <c r="A369" s="5">
        <v>45294</v>
      </c>
      <c r="B369" s="6">
        <v>219.78491738458101</v>
      </c>
    </row>
    <row r="370" spans="1:2" x14ac:dyDescent="0.25">
      <c r="A370" s="5">
        <v>45295</v>
      </c>
      <c r="B370" s="6">
        <v>192.761363693356</v>
      </c>
    </row>
    <row r="371" spans="1:2" x14ac:dyDescent="0.25">
      <c r="A371" s="5">
        <v>45296</v>
      </c>
      <c r="B371" s="6">
        <v>198.02929963599601</v>
      </c>
    </row>
    <row r="372" spans="1:2" x14ac:dyDescent="0.25">
      <c r="A372" s="5">
        <v>45297</v>
      </c>
      <c r="B372" s="6">
        <v>458.03823918189198</v>
      </c>
    </row>
    <row r="373" spans="1:2" x14ac:dyDescent="0.25">
      <c r="A373" s="5">
        <v>45298</v>
      </c>
      <c r="B373" s="6">
        <v>234.219043853324</v>
      </c>
    </row>
    <row r="374" spans="1:2" x14ac:dyDescent="0.25">
      <c r="A374" s="5">
        <v>45299</v>
      </c>
      <c r="B374" s="6">
        <v>346.345784990808</v>
      </c>
    </row>
    <row r="375" spans="1:2" x14ac:dyDescent="0.25">
      <c r="A375" s="5">
        <v>45300</v>
      </c>
      <c r="B375" s="6">
        <v>504.91800643596599</v>
      </c>
    </row>
    <row r="376" spans="1:2" x14ac:dyDescent="0.25">
      <c r="A376" s="5">
        <v>45301</v>
      </c>
      <c r="B376" s="6">
        <v>410.20785185085703</v>
      </c>
    </row>
    <row r="377" spans="1:2" x14ac:dyDescent="0.25">
      <c r="A377" s="5">
        <v>45302</v>
      </c>
      <c r="B377" s="6">
        <v>177.96221314303301</v>
      </c>
    </row>
    <row r="378" spans="1:2" x14ac:dyDescent="0.25">
      <c r="A378" s="5">
        <v>45303</v>
      </c>
      <c r="B378" s="6">
        <v>464.4491688</v>
      </c>
    </row>
    <row r="379" spans="1:2" x14ac:dyDescent="0.25">
      <c r="A379" s="5">
        <v>45304</v>
      </c>
      <c r="B379" s="6">
        <v>344.87367727171801</v>
      </c>
    </row>
    <row r="380" spans="1:2" x14ac:dyDescent="0.25">
      <c r="A380" s="5">
        <v>45305</v>
      </c>
      <c r="B380" s="6">
        <v>103.224709486164</v>
      </c>
    </row>
    <row r="381" spans="1:2" x14ac:dyDescent="0.25">
      <c r="A381" s="5">
        <v>45306</v>
      </c>
      <c r="B381" s="6">
        <v>113.403053693863</v>
      </c>
    </row>
    <row r="382" spans="1:2" x14ac:dyDescent="0.25">
      <c r="A382" s="5">
        <v>45307</v>
      </c>
      <c r="B382" s="6">
        <v>45.779076727529997</v>
      </c>
    </row>
    <row r="383" spans="1:2" x14ac:dyDescent="0.25">
      <c r="A383" s="5">
        <v>45308</v>
      </c>
      <c r="B383" s="6">
        <v>203.52155727456901</v>
      </c>
    </row>
    <row r="384" spans="1:2" x14ac:dyDescent="0.25">
      <c r="A384" s="5">
        <v>45309</v>
      </c>
      <c r="B384" s="6">
        <v>140.57140780987999</v>
      </c>
    </row>
    <row r="385" spans="1:5" x14ac:dyDescent="0.25">
      <c r="A385" s="5">
        <v>45310</v>
      </c>
      <c r="B385" s="6">
        <v>220.857116671797</v>
      </c>
    </row>
    <row r="386" spans="1:5" x14ac:dyDescent="0.25">
      <c r="A386" s="5">
        <v>45311</v>
      </c>
      <c r="B386" s="6">
        <v>341.43651917442298</v>
      </c>
    </row>
    <row r="387" spans="1:5" x14ac:dyDescent="0.25">
      <c r="A387" s="5">
        <v>45312</v>
      </c>
      <c r="B387" s="6">
        <v>128.25582196536101</v>
      </c>
    </row>
    <row r="388" spans="1:5" x14ac:dyDescent="0.25">
      <c r="A388" s="5">
        <v>45313</v>
      </c>
      <c r="B388" s="6">
        <v>353.464221248873</v>
      </c>
      <c r="C388" s="6">
        <v>353.464221248873</v>
      </c>
      <c r="D388" s="7">
        <v>353.464221248873</v>
      </c>
      <c r="E388" s="7">
        <v>353.464221248873</v>
      </c>
    </row>
    <row r="389" spans="1:5" x14ac:dyDescent="0.25">
      <c r="A389" s="5">
        <v>45314</v>
      </c>
      <c r="C389" s="6">
        <f t="shared" ref="C389:C420" si="0">_xlfn.FORECAST.ETS(A389,$B$2:$B$388,$A$2:$A$388,1,1)</f>
        <v>353.46703646105419</v>
      </c>
      <c r="D389" s="7">
        <f t="shared" ref="D389:D420" si="1">C389-_xlfn.FORECAST.ETS.CONFINT(A389,$B$2:$B$388,$A$2:$A$388,0.95,1,1)</f>
        <v>109.84689832145281</v>
      </c>
      <c r="E389" s="7">
        <f t="shared" ref="E389:E420" si="2">C389+_xlfn.FORECAST.ETS.CONFINT(A389,$B$2:$B$388,$A$2:$A$388,0.95,1,1)</f>
        <v>597.08717460065554</v>
      </c>
    </row>
    <row r="390" spans="1:5" x14ac:dyDescent="0.25">
      <c r="A390" s="5">
        <v>45315</v>
      </c>
      <c r="C390" s="6">
        <f t="shared" si="0"/>
        <v>353.46985167323652</v>
      </c>
      <c r="D390" s="7">
        <f t="shared" si="1"/>
        <v>108.61028185955092</v>
      </c>
      <c r="E390" s="7">
        <f t="shared" si="2"/>
        <v>598.32942148692212</v>
      </c>
    </row>
    <row r="391" spans="1:5" x14ac:dyDescent="0.25">
      <c r="A391" s="5">
        <v>45316</v>
      </c>
      <c r="C391" s="6">
        <f t="shared" si="0"/>
        <v>353.47266688541771</v>
      </c>
      <c r="D391" s="7">
        <f t="shared" si="1"/>
        <v>107.35542986577204</v>
      </c>
      <c r="E391" s="7">
        <f t="shared" si="2"/>
        <v>599.58990390506335</v>
      </c>
    </row>
    <row r="392" spans="1:5" x14ac:dyDescent="0.25">
      <c r="A392" s="5">
        <v>45317</v>
      </c>
      <c r="C392" s="6">
        <f t="shared" si="0"/>
        <v>353.47548209759998</v>
      </c>
      <c r="D392" s="7">
        <f t="shared" si="1"/>
        <v>106.0823805461911</v>
      </c>
      <c r="E392" s="7">
        <f t="shared" si="2"/>
        <v>600.86858364900888</v>
      </c>
    </row>
    <row r="393" spans="1:5" x14ac:dyDescent="0.25">
      <c r="A393" s="5">
        <v>45318</v>
      </c>
      <c r="C393" s="6">
        <f t="shared" si="0"/>
        <v>353.47829730978117</v>
      </c>
      <c r="D393" s="7">
        <f t="shared" si="1"/>
        <v>104.79117532311631</v>
      </c>
      <c r="E393" s="7">
        <f t="shared" si="2"/>
        <v>602.16541929644609</v>
      </c>
    </row>
    <row r="394" spans="1:5" x14ac:dyDescent="0.25">
      <c r="A394" s="5">
        <v>45319</v>
      </c>
      <c r="C394" s="6">
        <f t="shared" si="0"/>
        <v>353.4811125219635</v>
      </c>
      <c r="D394" s="7">
        <f t="shared" si="1"/>
        <v>103.48185872291361</v>
      </c>
      <c r="E394" s="7">
        <f t="shared" si="2"/>
        <v>603.48036632101343</v>
      </c>
    </row>
    <row r="395" spans="1:5" x14ac:dyDescent="0.25">
      <c r="A395" s="5">
        <v>45320</v>
      </c>
      <c r="C395" s="6">
        <f t="shared" si="0"/>
        <v>353.48392773414469</v>
      </c>
      <c r="D395" s="7">
        <f t="shared" si="1"/>
        <v>102.15447826396544</v>
      </c>
      <c r="E395" s="7">
        <f t="shared" si="2"/>
        <v>604.81337720432396</v>
      </c>
    </row>
    <row r="396" spans="1:5" x14ac:dyDescent="0.25">
      <c r="A396" s="5">
        <v>45321</v>
      </c>
      <c r="C396" s="6">
        <f t="shared" si="0"/>
        <v>353.48674294632701</v>
      </c>
      <c r="D396" s="7">
        <f t="shared" si="1"/>
        <v>100.80908434498045</v>
      </c>
      <c r="E396" s="7">
        <f t="shared" si="2"/>
        <v>606.16440154767361</v>
      </c>
    </row>
    <row r="397" spans="1:5" x14ac:dyDescent="0.25">
      <c r="A397" s="5">
        <v>45322</v>
      </c>
      <c r="C397" s="6">
        <f t="shared" si="0"/>
        <v>353.4895581585082</v>
      </c>
      <c r="D397" s="7">
        <f t="shared" si="1"/>
        <v>99.445730133793262</v>
      </c>
      <c r="E397" s="7">
        <f t="shared" si="2"/>
        <v>607.53338618322312</v>
      </c>
    </row>
    <row r="398" spans="1:5" x14ac:dyDescent="0.25">
      <c r="A398" s="5">
        <v>45323</v>
      </c>
      <c r="C398" s="6">
        <f t="shared" si="0"/>
        <v>353.49237337069053</v>
      </c>
      <c r="D398" s="7">
        <f t="shared" si="1"/>
        <v>98.064471456855557</v>
      </c>
      <c r="E398" s="7">
        <f t="shared" si="2"/>
        <v>608.92027528452547</v>
      </c>
    </row>
    <row r="399" spans="1:5" x14ac:dyDescent="0.25">
      <c r="A399" s="5">
        <v>45324</v>
      </c>
      <c r="C399" s="6">
        <f t="shared" si="0"/>
        <v>353.49518858287172</v>
      </c>
      <c r="D399" s="7">
        <f t="shared" si="1"/>
        <v>96.665366689540349</v>
      </c>
      <c r="E399" s="7">
        <f t="shared" si="2"/>
        <v>610.32501047620303</v>
      </c>
    </row>
    <row r="400" spans="1:5" x14ac:dyDescent="0.25">
      <c r="A400" s="5">
        <v>45325</v>
      </c>
      <c r="C400" s="6">
        <f t="shared" si="0"/>
        <v>353.49800379505399</v>
      </c>
      <c r="D400" s="7">
        <f t="shared" si="1"/>
        <v>95.248476647443852</v>
      </c>
      <c r="E400" s="7">
        <f t="shared" si="2"/>
        <v>611.74753094266407</v>
      </c>
    </row>
    <row r="401" spans="1:5" x14ac:dyDescent="0.25">
      <c r="A401" s="5">
        <v>45326</v>
      </c>
      <c r="C401" s="6">
        <f t="shared" si="0"/>
        <v>353.50081900723518</v>
      </c>
      <c r="D401" s="7">
        <f t="shared" si="1"/>
        <v>93.813864478789867</v>
      </c>
      <c r="E401" s="7">
        <f t="shared" si="2"/>
        <v>613.18777353568044</v>
      </c>
    </row>
    <row r="402" spans="1:5" x14ac:dyDescent="0.25">
      <c r="A402" s="5">
        <v>45327</v>
      </c>
      <c r="C402" s="6">
        <f t="shared" si="0"/>
        <v>353.50363421941751</v>
      </c>
      <c r="D402" s="7">
        <f t="shared" si="1"/>
        <v>92.36159555810292</v>
      </c>
      <c r="E402" s="7">
        <f t="shared" si="2"/>
        <v>614.64567288073204</v>
      </c>
    </row>
    <row r="403" spans="1:5" x14ac:dyDescent="0.25">
      <c r="A403" s="5">
        <v>45328</v>
      </c>
      <c r="C403" s="6">
        <f t="shared" si="0"/>
        <v>353.5064494315987</v>
      </c>
      <c r="D403" s="7">
        <f t="shared" si="1"/>
        <v>90.891737381238215</v>
      </c>
      <c r="E403" s="7">
        <f t="shared" si="2"/>
        <v>616.12116148195923</v>
      </c>
    </row>
    <row r="404" spans="1:5" x14ac:dyDescent="0.25">
      <c r="A404" s="5">
        <v>45329</v>
      </c>
      <c r="C404" s="6">
        <f t="shared" si="0"/>
        <v>353.50926464378102</v>
      </c>
      <c r="D404" s="7">
        <f t="shared" si="1"/>
        <v>89.404359461917863</v>
      </c>
      <c r="E404" s="7">
        <f t="shared" si="2"/>
        <v>617.61416982564424</v>
      </c>
    </row>
    <row r="405" spans="1:5" x14ac:dyDescent="0.25">
      <c r="A405" s="5">
        <v>45330</v>
      </c>
      <c r="C405" s="6">
        <f t="shared" si="0"/>
        <v>353.51207985596221</v>
      </c>
      <c r="D405" s="7">
        <f t="shared" si="1"/>
        <v>87.899533229842802</v>
      </c>
      <c r="E405" s="7">
        <f t="shared" si="2"/>
        <v>619.12462648208157</v>
      </c>
    </row>
    <row r="406" spans="1:5" x14ac:dyDescent="0.25">
      <c r="A406" s="5">
        <v>45331</v>
      </c>
      <c r="C406" s="6">
        <f t="shared" si="0"/>
        <v>353.51489506814454</v>
      </c>
      <c r="D406" s="7">
        <f t="shared" si="1"/>
        <v>86.377331930513606</v>
      </c>
      <c r="E406" s="7">
        <f t="shared" si="2"/>
        <v>620.65245820577547</v>
      </c>
    </row>
    <row r="407" spans="1:5" x14ac:dyDescent="0.25">
      <c r="A407" s="5">
        <v>45332</v>
      </c>
      <c r="C407" s="6">
        <f t="shared" si="0"/>
        <v>353.51771028032567</v>
      </c>
      <c r="D407" s="7">
        <f t="shared" si="1"/>
        <v>84.837830526812638</v>
      </c>
      <c r="E407" s="7">
        <f t="shared" si="2"/>
        <v>622.19759003383865</v>
      </c>
    </row>
    <row r="408" spans="1:5" x14ac:dyDescent="0.25">
      <c r="A408" s="5">
        <v>45333</v>
      </c>
      <c r="C408" s="6">
        <f t="shared" si="0"/>
        <v>353.520525492508</v>
      </c>
      <c r="D408" s="7">
        <f t="shared" si="1"/>
        <v>83.281105602464379</v>
      </c>
      <c r="E408" s="7">
        <f t="shared" si="2"/>
        <v>623.75994538255168</v>
      </c>
    </row>
    <row r="409" spans="1:5" x14ac:dyDescent="0.25">
      <c r="A409" s="5">
        <v>45334</v>
      </c>
      <c r="C409" s="6">
        <f t="shared" si="0"/>
        <v>353.52334070468919</v>
      </c>
      <c r="D409" s="7">
        <f t="shared" si="1"/>
        <v>81.70723526740943</v>
      </c>
      <c r="E409" s="7">
        <f t="shared" si="2"/>
        <v>625.33944614196889</v>
      </c>
    </row>
    <row r="410" spans="1:5" x14ac:dyDescent="0.25">
      <c r="A410" s="5">
        <v>45335</v>
      </c>
      <c r="C410" s="6">
        <f t="shared" si="0"/>
        <v>353.52615591687152</v>
      </c>
      <c r="D410" s="7">
        <f t="shared" si="1"/>
        <v>80.116299065193857</v>
      </c>
      <c r="E410" s="7">
        <f t="shared" si="2"/>
        <v>626.93601276854918</v>
      </c>
    </row>
    <row r="411" spans="1:5" x14ac:dyDescent="0.25">
      <c r="A411" s="5">
        <v>45336</v>
      </c>
      <c r="C411" s="6">
        <f t="shared" si="0"/>
        <v>353.52897112905271</v>
      </c>
      <c r="D411" s="7">
        <f t="shared" si="1"/>
        <v>78.508377882393745</v>
      </c>
      <c r="E411" s="7">
        <f t="shared" si="2"/>
        <v>628.54956437571173</v>
      </c>
    </row>
    <row r="412" spans="1:5" x14ac:dyDescent="0.25">
      <c r="A412" s="5">
        <v>45337</v>
      </c>
      <c r="C412" s="6">
        <f t="shared" si="0"/>
        <v>353.53178634123503</v>
      </c>
      <c r="D412" s="7">
        <f t="shared" si="1"/>
        <v>76.88355386016201</v>
      </c>
      <c r="E412" s="7">
        <f t="shared" si="2"/>
        <v>630.18001882230806</v>
      </c>
    </row>
    <row r="413" spans="1:5" x14ac:dyDescent="0.25">
      <c r="A413" s="5">
        <v>45338</v>
      </c>
      <c r="C413" s="6">
        <f t="shared" si="0"/>
        <v>353.53460155341622</v>
      </c>
      <c r="D413" s="7">
        <f t="shared" si="1"/>
        <v>75.241910307902003</v>
      </c>
      <c r="E413" s="7">
        <f t="shared" si="2"/>
        <v>631.82729279893044</v>
      </c>
    </row>
    <row r="414" spans="1:5" x14ac:dyDescent="0.25">
      <c r="A414" s="5">
        <v>45339</v>
      </c>
      <c r="C414" s="6">
        <f t="shared" si="0"/>
        <v>353.53741676559849</v>
      </c>
      <c r="D414" s="7">
        <f t="shared" si="1"/>
        <v>73.583531619141809</v>
      </c>
      <c r="E414" s="7">
        <f t="shared" si="2"/>
        <v>633.49130191205518</v>
      </c>
    </row>
    <row r="415" spans="1:5" x14ac:dyDescent="0.25">
      <c r="A415" s="5">
        <v>45340</v>
      </c>
      <c r="C415" s="6">
        <f t="shared" si="0"/>
        <v>353.54023197777968</v>
      </c>
      <c r="D415" s="7">
        <f t="shared" si="1"/>
        <v>71.908503189600879</v>
      </c>
      <c r="E415" s="7">
        <f t="shared" si="2"/>
        <v>635.17196076595849</v>
      </c>
    </row>
    <row r="416" spans="1:5" x14ac:dyDescent="0.25">
      <c r="A416" s="5">
        <v>45341</v>
      </c>
      <c r="C416" s="6">
        <f t="shared" si="0"/>
        <v>353.54304718996201</v>
      </c>
      <c r="D416" s="7">
        <f t="shared" si="1"/>
        <v>70.216911337508293</v>
      </c>
      <c r="E416" s="7">
        <f t="shared" si="2"/>
        <v>636.86918304241567</v>
      </c>
    </row>
    <row r="417" spans="1:5" x14ac:dyDescent="0.25">
      <c r="A417" s="5">
        <v>45342</v>
      </c>
      <c r="C417" s="6">
        <f t="shared" si="0"/>
        <v>353.5458624021432</v>
      </c>
      <c r="D417" s="7">
        <f t="shared" si="1"/>
        <v>68.508843226154113</v>
      </c>
      <c r="E417" s="7">
        <f t="shared" si="2"/>
        <v>638.58288157813229</v>
      </c>
    </row>
    <row r="418" spans="1:5" x14ac:dyDescent="0.25">
      <c r="A418" s="5">
        <v>45343</v>
      </c>
      <c r="C418" s="6">
        <f t="shared" si="0"/>
        <v>353.54867761432553</v>
      </c>
      <c r="D418" s="7">
        <f t="shared" si="1"/>
        <v>66.784386788720894</v>
      </c>
      <c r="E418" s="7">
        <f t="shared" si="2"/>
        <v>640.31296843993016</v>
      </c>
    </row>
    <row r="419" spans="1:5" x14ac:dyDescent="0.25">
      <c r="A419" s="5">
        <v>45344</v>
      </c>
      <c r="C419" s="6">
        <f t="shared" si="0"/>
        <v>353.55149282650672</v>
      </c>
      <c r="D419" s="7">
        <f t="shared" si="1"/>
        <v>65.043630655364211</v>
      </c>
      <c r="E419" s="7">
        <f t="shared" si="2"/>
        <v>642.05935499764928</v>
      </c>
    </row>
    <row r="420" spans="1:5" x14ac:dyDescent="0.25">
      <c r="A420" s="5">
        <v>45345</v>
      </c>
      <c r="C420" s="6">
        <f t="shared" si="0"/>
        <v>353.55430803868904</v>
      </c>
      <c r="D420" s="7">
        <f t="shared" si="1"/>
        <v>63.286664082581751</v>
      </c>
      <c r="E420" s="7">
        <f t="shared" si="2"/>
        <v>643.82195199479634</v>
      </c>
    </row>
    <row r="421" spans="1:5" x14ac:dyDescent="0.25">
      <c r="A421" s="5">
        <v>45346</v>
      </c>
      <c r="C421" s="6">
        <f t="shared" ref="C421:C452" si="3">_xlfn.FORECAST.ETS(A421,$B$2:$B$388,$A$2:$A$388,1,1)</f>
        <v>353.55712325087023</v>
      </c>
      <c r="D421" s="7">
        <f t="shared" ref="D421:D452" si="4">C421-_xlfn.FORECAST.ETS.CONFINT(A421,$B$2:$B$388,$A$2:$A$388,0.95,1,1)</f>
        <v>61.51357688482733</v>
      </c>
      <c r="E421" s="7">
        <f t="shared" ref="E421:E452" si="5">C421+_xlfn.FORECAST.ETS.CONFINT(A421,$B$2:$B$388,$A$2:$A$388,0.95,1,1)</f>
        <v>645.60066961691314</v>
      </c>
    </row>
    <row r="422" spans="1:5" x14ac:dyDescent="0.25">
      <c r="A422" s="5">
        <v>45347</v>
      </c>
      <c r="C422" s="6">
        <f t="shared" si="3"/>
        <v>353.5599384630525</v>
      </c>
      <c r="D422" s="7">
        <f t="shared" si="4"/>
        <v>59.72445936840171</v>
      </c>
      <c r="E422" s="7">
        <f t="shared" si="5"/>
        <v>647.39541755770324</v>
      </c>
    </row>
    <row r="423" spans="1:5" x14ac:dyDescent="0.25">
      <c r="A423" s="5">
        <v>45348</v>
      </c>
      <c r="C423" s="6">
        <f t="shared" si="3"/>
        <v>353.56275367523369</v>
      </c>
      <c r="D423" s="7">
        <f t="shared" si="4"/>
        <v>57.919402267567705</v>
      </c>
      <c r="E423" s="7">
        <f t="shared" si="5"/>
        <v>649.20610508289974</v>
      </c>
    </row>
    <row r="424" spans="1:5" x14ac:dyDescent="0.25">
      <c r="A424" s="5">
        <v>45349</v>
      </c>
      <c r="C424" s="6">
        <f t="shared" si="3"/>
        <v>353.56556888741602</v>
      </c>
      <c r="D424" s="7">
        <f t="shared" si="4"/>
        <v>56.0984966829119</v>
      </c>
      <c r="E424" s="7">
        <f t="shared" si="5"/>
        <v>651.03264109192014</v>
      </c>
    </row>
    <row r="425" spans="1:5" x14ac:dyDescent="0.25">
      <c r="A425" s="5">
        <v>45350</v>
      </c>
      <c r="C425" s="6">
        <f t="shared" si="3"/>
        <v>353.56838409959721</v>
      </c>
      <c r="D425" s="7">
        <f t="shared" si="4"/>
        <v>54.261834021896334</v>
      </c>
      <c r="E425" s="7">
        <f t="shared" si="5"/>
        <v>652.87493417729809</v>
      </c>
    </row>
    <row r="426" spans="1:5" x14ac:dyDescent="0.25">
      <c r="A426" s="5">
        <v>45351</v>
      </c>
      <c r="C426" s="6">
        <f t="shared" si="3"/>
        <v>353.57119931177954</v>
      </c>
      <c r="D426" s="7">
        <f t="shared" si="4"/>
        <v>52.409505941611826</v>
      </c>
      <c r="E426" s="7">
        <f t="shared" si="5"/>
        <v>654.73289268194731</v>
      </c>
    </row>
    <row r="427" spans="1:5" x14ac:dyDescent="0.25">
      <c r="A427" s="5">
        <v>45352</v>
      </c>
      <c r="C427" s="6">
        <f t="shared" si="3"/>
        <v>353.57401452396073</v>
      </c>
      <c r="D427" s="7">
        <f t="shared" si="4"/>
        <v>50.541604293671867</v>
      </c>
      <c r="E427" s="7">
        <f t="shared" si="5"/>
        <v>656.60642475424959</v>
      </c>
    </row>
    <row r="428" spans="1:5" x14ac:dyDescent="0.25">
      <c r="A428" s="5">
        <v>45353</v>
      </c>
      <c r="C428" s="6">
        <f t="shared" si="3"/>
        <v>353.57682973614305</v>
      </c>
      <c r="D428" s="7">
        <f t="shared" si="4"/>
        <v>48.658221071253479</v>
      </c>
      <c r="E428" s="7">
        <f t="shared" si="5"/>
        <v>658.49543840103263</v>
      </c>
    </row>
    <row r="429" spans="1:5" x14ac:dyDescent="0.25">
      <c r="A429" s="5">
        <v>45354</v>
      </c>
      <c r="C429" s="6">
        <f t="shared" si="3"/>
        <v>353.57964494832419</v>
      </c>
      <c r="D429" s="7">
        <f t="shared" si="4"/>
        <v>46.759448358216389</v>
      </c>
      <c r="E429" s="7">
        <f t="shared" si="5"/>
        <v>660.39984153843193</v>
      </c>
    </row>
    <row r="430" spans="1:5" x14ac:dyDescent="0.25">
      <c r="A430" s="5">
        <v>45355</v>
      </c>
      <c r="C430" s="6">
        <f t="shared" si="3"/>
        <v>353.58246016050651</v>
      </c>
      <c r="D430" s="7">
        <f t="shared" si="4"/>
        <v>44.845378280304772</v>
      </c>
      <c r="E430" s="7">
        <f t="shared" si="5"/>
        <v>662.31954204070826</v>
      </c>
    </row>
    <row r="431" spans="1:5" x14ac:dyDescent="0.25">
      <c r="A431" s="5">
        <v>45356</v>
      </c>
      <c r="C431" s="6">
        <f t="shared" si="3"/>
        <v>353.5852753726877</v>
      </c>
      <c r="D431" s="7">
        <f t="shared" si="4"/>
        <v>42.916102958356362</v>
      </c>
      <c r="E431" s="7">
        <f t="shared" si="5"/>
        <v>664.25444778701899</v>
      </c>
    </row>
    <row r="432" spans="1:5" x14ac:dyDescent="0.25">
      <c r="A432" s="5">
        <v>45357</v>
      </c>
      <c r="C432" s="6">
        <f t="shared" si="3"/>
        <v>353.58809058487003</v>
      </c>
      <c r="D432" s="7">
        <f t="shared" si="4"/>
        <v>40.971714463520243</v>
      </c>
      <c r="E432" s="7">
        <f t="shared" si="5"/>
        <v>666.20446670621982</v>
      </c>
    </row>
    <row r="433" spans="1:5" x14ac:dyDescent="0.25">
      <c r="A433" s="5">
        <v>45358</v>
      </c>
      <c r="C433" s="6">
        <f t="shared" si="3"/>
        <v>353.59090579705122</v>
      </c>
      <c r="D433" s="7">
        <f t="shared" si="4"/>
        <v>39.012304774405607</v>
      </c>
      <c r="E433" s="7">
        <f t="shared" si="5"/>
        <v>668.16950681969684</v>
      </c>
    </row>
    <row r="434" spans="1:5" x14ac:dyDescent="0.25">
      <c r="A434" s="5">
        <v>45359</v>
      </c>
      <c r="C434" s="6">
        <f t="shared" si="3"/>
        <v>353.59372100923355</v>
      </c>
      <c r="D434" s="7">
        <f t="shared" si="4"/>
        <v>37.037965736157105</v>
      </c>
      <c r="E434" s="7">
        <f t="shared" si="5"/>
        <v>670.14947628230993</v>
      </c>
    </row>
    <row r="435" spans="1:5" x14ac:dyDescent="0.25">
      <c r="A435" s="5">
        <v>45360</v>
      </c>
      <c r="C435" s="6">
        <f t="shared" si="3"/>
        <v>353.59653622141474</v>
      </c>
      <c r="D435" s="7">
        <f t="shared" si="4"/>
        <v>35.048789021379321</v>
      </c>
      <c r="E435" s="7">
        <f t="shared" si="5"/>
        <v>672.14428342145015</v>
      </c>
    </row>
    <row r="436" spans="1:5" x14ac:dyDescent="0.25">
      <c r="A436" s="5">
        <v>45361</v>
      </c>
      <c r="C436" s="6">
        <f t="shared" si="3"/>
        <v>353.59935143359701</v>
      </c>
      <c r="D436" s="7">
        <f t="shared" si="4"/>
        <v>33.044866092902282</v>
      </c>
      <c r="E436" s="7">
        <f t="shared" si="5"/>
        <v>674.15383677429168</v>
      </c>
    </row>
    <row r="437" spans="1:5" x14ac:dyDescent="0.25">
      <c r="A437" s="5">
        <v>45362</v>
      </c>
      <c r="C437" s="6">
        <f t="shared" si="3"/>
        <v>353.6021666457782</v>
      </c>
      <c r="D437" s="7">
        <f t="shared" si="4"/>
        <v>31.026288168308554</v>
      </c>
      <c r="E437" s="7">
        <f t="shared" si="5"/>
        <v>676.17804512324778</v>
      </c>
    </row>
    <row r="438" spans="1:5" x14ac:dyDescent="0.25">
      <c r="A438" s="5">
        <v>45363</v>
      </c>
      <c r="C438" s="6">
        <f t="shared" si="3"/>
        <v>353.60498185796052</v>
      </c>
      <c r="D438" s="7">
        <f t="shared" si="4"/>
        <v>28.993146186212584</v>
      </c>
      <c r="E438" s="7">
        <f t="shared" si="5"/>
        <v>678.21681752970846</v>
      </c>
    </row>
    <row r="439" spans="1:5" x14ac:dyDescent="0.25">
      <c r="A439" s="5">
        <v>45364</v>
      </c>
      <c r="C439" s="6">
        <f t="shared" si="3"/>
        <v>353.60779707014171</v>
      </c>
      <c r="D439" s="7">
        <f t="shared" si="4"/>
        <v>26.945530774211932</v>
      </c>
      <c r="E439" s="7">
        <f t="shared" si="5"/>
        <v>680.27006336607155</v>
      </c>
    </row>
    <row r="440" spans="1:5" x14ac:dyDescent="0.25">
      <c r="A440" s="5">
        <v>45365</v>
      </c>
      <c r="C440" s="6">
        <f t="shared" si="3"/>
        <v>353.61061228232404</v>
      </c>
      <c r="D440" s="7">
        <f t="shared" si="4"/>
        <v>24.883532218499852</v>
      </c>
      <c r="E440" s="7">
        <f t="shared" si="5"/>
        <v>682.33769234614829</v>
      </c>
    </row>
    <row r="441" spans="1:5" x14ac:dyDescent="0.25">
      <c r="A441" s="5">
        <v>45366</v>
      </c>
      <c r="C441" s="6">
        <f t="shared" si="3"/>
        <v>353.61342749450523</v>
      </c>
      <c r="D441" s="7">
        <f t="shared" si="4"/>
        <v>22.807240435057906</v>
      </c>
      <c r="E441" s="7">
        <f t="shared" si="5"/>
        <v>684.41961455395256</v>
      </c>
    </row>
    <row r="442" spans="1:5" x14ac:dyDescent="0.25">
      <c r="A442" s="5">
        <v>45367</v>
      </c>
      <c r="C442" s="6">
        <f t="shared" si="3"/>
        <v>353.61624270668756</v>
      </c>
      <c r="D442" s="7">
        <f t="shared" si="4"/>
        <v>20.716744942417904</v>
      </c>
      <c r="E442" s="7">
        <f t="shared" si="5"/>
        <v>686.51574047095721</v>
      </c>
    </row>
    <row r="443" spans="1:5" x14ac:dyDescent="0.25">
      <c r="A443" s="5">
        <v>45368</v>
      </c>
      <c r="C443" s="6">
        <f t="shared" si="3"/>
        <v>353.61905791886875</v>
      </c>
      <c r="D443" s="7">
        <f t="shared" si="4"/>
        <v>18.612134835912286</v>
      </c>
      <c r="E443" s="7">
        <f t="shared" si="5"/>
        <v>688.62598100182527</v>
      </c>
    </row>
    <row r="444" spans="1:5" x14ac:dyDescent="0.25">
      <c r="A444" s="5">
        <v>45369</v>
      </c>
      <c r="C444" s="6">
        <f t="shared" si="3"/>
        <v>353.62187313105102</v>
      </c>
      <c r="D444" s="7">
        <f t="shared" si="4"/>
        <v>16.493498763400964</v>
      </c>
      <c r="E444" s="7">
        <f t="shared" si="5"/>
        <v>690.75024749870113</v>
      </c>
    </row>
    <row r="445" spans="1:5" x14ac:dyDescent="0.25">
      <c r="A445" s="5">
        <v>45370</v>
      </c>
      <c r="C445" s="6">
        <f t="shared" si="3"/>
        <v>353.62468834323221</v>
      </c>
      <c r="D445" s="7">
        <f t="shared" si="4"/>
        <v>14.360924902395766</v>
      </c>
      <c r="E445" s="7">
        <f t="shared" si="5"/>
        <v>692.88845178406859</v>
      </c>
    </row>
    <row r="446" spans="1:5" x14ac:dyDescent="0.25">
      <c r="A446" s="5">
        <v>45371</v>
      </c>
      <c r="C446" s="6">
        <f t="shared" si="3"/>
        <v>353.62750355541453</v>
      </c>
      <c r="D446" s="7">
        <f t="shared" si="4"/>
        <v>12.214500938569927</v>
      </c>
      <c r="E446" s="7">
        <f t="shared" si="5"/>
        <v>695.04050617225914</v>
      </c>
    </row>
    <row r="447" spans="1:5" x14ac:dyDescent="0.25">
      <c r="A447" s="5">
        <v>45372</v>
      </c>
      <c r="C447" s="6">
        <f t="shared" si="3"/>
        <v>353.63031876759572</v>
      </c>
      <c r="D447" s="7">
        <f t="shared" si="4"/>
        <v>10.054314045573449</v>
      </c>
      <c r="E447" s="7">
        <f t="shared" si="5"/>
        <v>697.20632348961794</v>
      </c>
    </row>
    <row r="448" spans="1:5" x14ac:dyDescent="0.25">
      <c r="A448" s="5">
        <v>45373</v>
      </c>
      <c r="C448" s="6">
        <f t="shared" si="3"/>
        <v>353.63313397977805</v>
      </c>
      <c r="D448" s="7">
        <f t="shared" si="4"/>
        <v>7.8804508661458499</v>
      </c>
      <c r="E448" s="7">
        <f t="shared" si="5"/>
        <v>699.3858170934102</v>
      </c>
    </row>
    <row r="449" spans="1:5" x14ac:dyDescent="0.25">
      <c r="A449" s="5">
        <v>45374</v>
      </c>
      <c r="C449" s="6">
        <f t="shared" si="3"/>
        <v>353.63594919195924</v>
      </c>
      <c r="D449" s="7">
        <f t="shared" si="4"/>
        <v>5.6929974944445689</v>
      </c>
      <c r="E449" s="7">
        <f t="shared" si="5"/>
        <v>701.57890088947397</v>
      </c>
    </row>
    <row r="450" spans="1:5" x14ac:dyDescent="0.25">
      <c r="A450" s="5">
        <v>45375</v>
      </c>
      <c r="C450" s="6">
        <f t="shared" si="3"/>
        <v>353.63876440414157</v>
      </c>
      <c r="D450" s="7">
        <f t="shared" si="4"/>
        <v>3.4920394595831681</v>
      </c>
      <c r="E450" s="7">
        <f t="shared" si="5"/>
        <v>703.78548934869991</v>
      </c>
    </row>
    <row r="451" spans="1:5" x14ac:dyDescent="0.25">
      <c r="A451" s="5">
        <v>45376</v>
      </c>
      <c r="C451" s="6">
        <f t="shared" si="3"/>
        <v>353.6415796163227</v>
      </c>
      <c r="D451" s="7">
        <f t="shared" si="4"/>
        <v>1.2776617102991281</v>
      </c>
      <c r="E451" s="7">
        <f t="shared" si="5"/>
        <v>706.00549752234633</v>
      </c>
    </row>
    <row r="452" spans="1:5" x14ac:dyDescent="0.25">
      <c r="A452" s="5">
        <v>45377</v>
      </c>
      <c r="C452" s="6">
        <f t="shared" si="3"/>
        <v>353.64439482850503</v>
      </c>
      <c r="D452" s="7">
        <f t="shared" si="4"/>
        <v>-0.95005139925302728</v>
      </c>
      <c r="E452" s="7">
        <f t="shared" si="5"/>
        <v>708.23884105626303</v>
      </c>
    </row>
    <row r="453" spans="1:5" x14ac:dyDescent="0.25">
      <c r="A453" s="5">
        <v>45378</v>
      </c>
      <c r="C453" s="6">
        <f t="shared" ref="C453:C485" si="6">_xlfn.FORECAST.ETS(A453,$B$2:$B$388,$A$2:$A$388,1,1)</f>
        <v>353.64721004068622</v>
      </c>
      <c r="D453" s="7">
        <f t="shared" ref="D453:D484" si="7">C453-_xlfn.FORECAST.ETS.CONFINT(A453,$B$2:$B$388,$A$2:$A$388,0.95,1,1)</f>
        <v>-3.1910161226638252</v>
      </c>
      <c r="E453" s="7">
        <f t="shared" ref="E453:E485" si="8">C453+_xlfn.FORECAST.ETS.CONFINT(A453,$B$2:$B$388,$A$2:$A$388,0.95,1,1)</f>
        <v>710.4854362040362</v>
      </c>
    </row>
    <row r="454" spans="1:5" x14ac:dyDescent="0.25">
      <c r="A454" s="5">
        <v>45379</v>
      </c>
      <c r="C454" s="6">
        <f t="shared" si="6"/>
        <v>353.65002525286855</v>
      </c>
      <c r="D454" s="7">
        <f t="shared" si="7"/>
        <v>-5.4451493333872349</v>
      </c>
      <c r="E454" s="7">
        <f t="shared" si="8"/>
        <v>712.74519983912433</v>
      </c>
    </row>
    <row r="455" spans="1:5" x14ac:dyDescent="0.25">
      <c r="A455" s="5">
        <v>45380</v>
      </c>
      <c r="C455" s="6">
        <f t="shared" si="6"/>
        <v>353.65284046504974</v>
      </c>
      <c r="D455" s="7">
        <f t="shared" si="7"/>
        <v>-7.7123685358943703</v>
      </c>
      <c r="E455" s="7">
        <f t="shared" si="8"/>
        <v>715.01804946599384</v>
      </c>
    </row>
    <row r="456" spans="1:5" x14ac:dyDescent="0.25">
      <c r="A456" s="5">
        <v>45381</v>
      </c>
      <c r="C456" s="6">
        <f t="shared" si="6"/>
        <v>353.65565567723206</v>
      </c>
      <c r="D456" s="7">
        <f t="shared" si="7"/>
        <v>-9.992591875862729</v>
      </c>
      <c r="E456" s="7">
        <f t="shared" si="8"/>
        <v>717.3039032303268</v>
      </c>
    </row>
    <row r="457" spans="1:5" x14ac:dyDescent="0.25">
      <c r="A457" s="5">
        <v>45382</v>
      </c>
      <c r="C457" s="6">
        <f t="shared" si="6"/>
        <v>353.65847088941325</v>
      </c>
      <c r="D457" s="7">
        <f t="shared" si="7"/>
        <v>-12.28573814947805</v>
      </c>
      <c r="E457" s="7">
        <f t="shared" si="8"/>
        <v>719.6026799283045</v>
      </c>
    </row>
    <row r="458" spans="1:5" x14ac:dyDescent="0.25">
      <c r="A458" s="5">
        <v>45383</v>
      </c>
      <c r="C458" s="6">
        <f t="shared" si="6"/>
        <v>353.66128610159558</v>
      </c>
      <c r="D458" s="7">
        <f t="shared" si="7"/>
        <v>-14.591726811846854</v>
      </c>
      <c r="E458" s="7">
        <f t="shared" si="8"/>
        <v>721.91429901503807</v>
      </c>
    </row>
    <row r="459" spans="1:5" x14ac:dyDescent="0.25">
      <c r="A459" s="5">
        <v>45384</v>
      </c>
      <c r="C459" s="6">
        <f t="shared" si="6"/>
        <v>353.66410131377671</v>
      </c>
      <c r="D459" s="7">
        <f t="shared" si="7"/>
        <v>-16.910477984594536</v>
      </c>
      <c r="E459" s="7">
        <f t="shared" si="8"/>
        <v>724.23868061214796</v>
      </c>
    </row>
    <row r="460" spans="1:5" x14ac:dyDescent="0.25">
      <c r="A460" s="5">
        <v>45385</v>
      </c>
      <c r="C460" s="6">
        <f t="shared" si="6"/>
        <v>353.66691652595904</v>
      </c>
      <c r="D460" s="7">
        <f t="shared" si="7"/>
        <v>-19.24191246264752</v>
      </c>
      <c r="E460" s="7">
        <f t="shared" si="8"/>
        <v>726.5757455145656</v>
      </c>
    </row>
    <row r="461" spans="1:5" x14ac:dyDescent="0.25">
      <c r="A461" s="5">
        <v>45386</v>
      </c>
      <c r="C461" s="6">
        <f t="shared" si="6"/>
        <v>353.66973173814023</v>
      </c>
      <c r="D461" s="7">
        <f t="shared" si="7"/>
        <v>-21.585951720269861</v>
      </c>
      <c r="E461" s="7">
        <f t="shared" si="8"/>
        <v>728.92541519655038</v>
      </c>
    </row>
    <row r="462" spans="1:5" x14ac:dyDescent="0.25">
      <c r="A462" s="5">
        <v>45387</v>
      </c>
      <c r="C462" s="6">
        <f t="shared" si="6"/>
        <v>353.67254695032256</v>
      </c>
      <c r="D462" s="7">
        <f t="shared" si="7"/>
        <v>-23.942517916350823</v>
      </c>
      <c r="E462" s="7">
        <f t="shared" si="8"/>
        <v>731.28761181699588</v>
      </c>
    </row>
    <row r="463" spans="1:5" x14ac:dyDescent="0.25">
      <c r="A463" s="5">
        <v>45388</v>
      </c>
      <c r="C463" s="6">
        <f t="shared" si="6"/>
        <v>353.67536216250375</v>
      </c>
      <c r="D463" s="7">
        <f t="shared" si="7"/>
        <v>-26.311533899015672</v>
      </c>
      <c r="E463" s="7">
        <f t="shared" si="8"/>
        <v>733.66225822402316</v>
      </c>
    </row>
    <row r="464" spans="1:5" x14ac:dyDescent="0.25">
      <c r="A464" s="5">
        <v>45389</v>
      </c>
      <c r="C464" s="6">
        <f t="shared" si="6"/>
        <v>353.67817737468607</v>
      </c>
      <c r="D464" s="7">
        <f t="shared" si="7"/>
        <v>-28.692923209549576</v>
      </c>
      <c r="E464" s="7">
        <f t="shared" si="8"/>
        <v>736.04927795892172</v>
      </c>
    </row>
    <row r="465" spans="1:5" x14ac:dyDescent="0.25">
      <c r="A465" s="5">
        <v>45390</v>
      </c>
      <c r="C465" s="6">
        <f t="shared" si="6"/>
        <v>353.68099258686726</v>
      </c>
      <c r="D465" s="7">
        <f t="shared" si="7"/>
        <v>-31.086610085707775</v>
      </c>
      <c r="E465" s="7">
        <f t="shared" si="8"/>
        <v>738.4485952594423</v>
      </c>
    </row>
    <row r="466" spans="1:5" x14ac:dyDescent="0.25">
      <c r="A466" s="5">
        <v>45391</v>
      </c>
      <c r="C466" s="6">
        <f t="shared" si="6"/>
        <v>353.68380779904953</v>
      </c>
      <c r="D466" s="7">
        <f t="shared" si="7"/>
        <v>-33.492519464400516</v>
      </c>
      <c r="E466" s="7">
        <f t="shared" si="8"/>
        <v>740.86013506249958</v>
      </c>
    </row>
    <row r="467" spans="1:5" x14ac:dyDescent="0.25">
      <c r="A467" s="5">
        <v>45392</v>
      </c>
      <c r="C467" s="6">
        <f t="shared" si="6"/>
        <v>353.68662301123072</v>
      </c>
      <c r="D467" s="7">
        <f t="shared" si="7"/>
        <v>-35.910576983820249</v>
      </c>
      <c r="E467" s="7">
        <f t="shared" si="8"/>
        <v>743.28382300628164</v>
      </c>
    </row>
    <row r="468" spans="1:5" x14ac:dyDescent="0.25">
      <c r="A468" s="5">
        <v>45393</v>
      </c>
      <c r="C468" s="6">
        <f t="shared" si="6"/>
        <v>353.68943822341305</v>
      </c>
      <c r="D468" s="7">
        <f t="shared" si="7"/>
        <v>-38.340708985003573</v>
      </c>
      <c r="E468" s="7">
        <f t="shared" si="8"/>
        <v>745.71958543182973</v>
      </c>
    </row>
    <row r="469" spans="1:5" x14ac:dyDescent="0.25">
      <c r="A469" s="5">
        <v>45394</v>
      </c>
      <c r="C469" s="6">
        <f t="shared" si="6"/>
        <v>353.69225343559424</v>
      </c>
      <c r="D469" s="7">
        <f t="shared" si="7"/>
        <v>-40.782842512888635</v>
      </c>
      <c r="E469" s="7">
        <f t="shared" si="8"/>
        <v>748.16734938407717</v>
      </c>
    </row>
    <row r="470" spans="1:5" x14ac:dyDescent="0.25">
      <c r="A470" s="5">
        <v>45395</v>
      </c>
      <c r="C470" s="6">
        <f t="shared" si="6"/>
        <v>353.69506864777657</v>
      </c>
      <c r="D470" s="7">
        <f t="shared" si="7"/>
        <v>-43.236905316860089</v>
      </c>
      <c r="E470" s="7">
        <f t="shared" si="8"/>
        <v>750.62704261241322</v>
      </c>
    </row>
    <row r="471" spans="1:5" x14ac:dyDescent="0.25">
      <c r="A471" s="5">
        <v>45396</v>
      </c>
      <c r="C471" s="6">
        <f t="shared" si="6"/>
        <v>353.69788385995776</v>
      </c>
      <c r="D471" s="7">
        <f t="shared" si="7"/>
        <v>-45.702825850842487</v>
      </c>
      <c r="E471" s="7">
        <f t="shared" si="8"/>
        <v>753.098593570758</v>
      </c>
    </row>
    <row r="472" spans="1:5" x14ac:dyDescent="0.25">
      <c r="A472" s="5">
        <v>45397</v>
      </c>
      <c r="C472" s="6">
        <f t="shared" si="6"/>
        <v>353.70069907214008</v>
      </c>
      <c r="D472" s="7">
        <f t="shared" si="7"/>
        <v>-48.180533272929665</v>
      </c>
      <c r="E472" s="7">
        <f t="shared" si="8"/>
        <v>755.58193141720983</v>
      </c>
    </row>
    <row r="473" spans="1:5" x14ac:dyDescent="0.25">
      <c r="A473" s="5">
        <v>45398</v>
      </c>
      <c r="C473" s="6">
        <f t="shared" si="6"/>
        <v>353.70351428432122</v>
      </c>
      <c r="D473" s="7">
        <f t="shared" si="7"/>
        <v>-50.66995744461093</v>
      </c>
      <c r="E473" s="7">
        <f t="shared" si="8"/>
        <v>758.07698601325342</v>
      </c>
    </row>
    <row r="474" spans="1:5" x14ac:dyDescent="0.25">
      <c r="A474" s="5">
        <v>45399</v>
      </c>
      <c r="C474" s="6">
        <f t="shared" si="6"/>
        <v>353.70632949650354</v>
      </c>
      <c r="D474" s="7">
        <f t="shared" si="7"/>
        <v>-53.171028929579165</v>
      </c>
      <c r="E474" s="7">
        <f t="shared" si="8"/>
        <v>760.58368792258625</v>
      </c>
    </row>
    <row r="475" spans="1:5" x14ac:dyDescent="0.25">
      <c r="A475" s="5">
        <v>45400</v>
      </c>
      <c r="C475" s="6">
        <f t="shared" si="6"/>
        <v>353.70914470868473</v>
      </c>
      <c r="D475" s="7">
        <f t="shared" si="7"/>
        <v>-55.68367899218066</v>
      </c>
      <c r="E475" s="7">
        <f t="shared" si="8"/>
        <v>763.10196840955018</v>
      </c>
    </row>
    <row r="476" spans="1:5" x14ac:dyDescent="0.25">
      <c r="A476" s="5">
        <v>45401</v>
      </c>
      <c r="C476" s="6">
        <f t="shared" si="6"/>
        <v>353.71195992086706</v>
      </c>
      <c r="D476" s="7">
        <f t="shared" si="7"/>
        <v>-58.207839595489588</v>
      </c>
      <c r="E476" s="7">
        <f t="shared" si="8"/>
        <v>765.63175943722376</v>
      </c>
    </row>
    <row r="477" spans="1:5" x14ac:dyDescent="0.25">
      <c r="A477" s="5">
        <v>45402</v>
      </c>
      <c r="C477" s="6">
        <f t="shared" si="6"/>
        <v>353.71477513304825</v>
      </c>
      <c r="D477" s="7">
        <f t="shared" si="7"/>
        <v>-60.743443399065427</v>
      </c>
      <c r="E477" s="7">
        <f t="shared" si="8"/>
        <v>768.17299366516193</v>
      </c>
    </row>
    <row r="478" spans="1:5" x14ac:dyDescent="0.25">
      <c r="A478" s="5">
        <v>45403</v>
      </c>
      <c r="C478" s="6">
        <f t="shared" si="6"/>
        <v>353.71759034523058</v>
      </c>
      <c r="D478" s="7">
        <f t="shared" si="7"/>
        <v>-63.290423756374764</v>
      </c>
      <c r="E478" s="7">
        <f t="shared" si="8"/>
        <v>770.72560444683586</v>
      </c>
    </row>
    <row r="479" spans="1:5" x14ac:dyDescent="0.25">
      <c r="A479" s="5">
        <v>45404</v>
      </c>
      <c r="C479" s="6">
        <f t="shared" si="6"/>
        <v>353.72040555741177</v>
      </c>
      <c r="D479" s="7">
        <f t="shared" si="7"/>
        <v>-65.848714711934463</v>
      </c>
      <c r="E479" s="7">
        <f t="shared" si="8"/>
        <v>773.28952582675799</v>
      </c>
    </row>
    <row r="480" spans="1:5" x14ac:dyDescent="0.25">
      <c r="A480" s="5">
        <v>45405</v>
      </c>
      <c r="C480" s="6">
        <f t="shared" si="6"/>
        <v>353.72322076959409</v>
      </c>
      <c r="D480" s="7">
        <f t="shared" si="7"/>
        <v>-68.418250998155827</v>
      </c>
      <c r="E480" s="7">
        <f t="shared" si="8"/>
        <v>775.86469253734401</v>
      </c>
    </row>
    <row r="481" spans="1:5" x14ac:dyDescent="0.25">
      <c r="A481" s="5">
        <v>45406</v>
      </c>
      <c r="C481" s="6">
        <f t="shared" si="6"/>
        <v>353.72603598177523</v>
      </c>
      <c r="D481" s="7">
        <f t="shared" si="7"/>
        <v>-70.998968031945026</v>
      </c>
      <c r="E481" s="7">
        <f t="shared" si="8"/>
        <v>778.45103999549542</v>
      </c>
    </row>
    <row r="482" spans="1:5" x14ac:dyDescent="0.25">
      <c r="A482" s="5">
        <v>45407</v>
      </c>
      <c r="C482" s="6">
        <f t="shared" si="6"/>
        <v>353.72885119395755</v>
      </c>
      <c r="D482" s="7">
        <f t="shared" si="7"/>
        <v>-73.590801911039023</v>
      </c>
      <c r="E482" s="7">
        <f t="shared" si="8"/>
        <v>781.04850429895419</v>
      </c>
    </row>
    <row r="483" spans="1:5" x14ac:dyDescent="0.25">
      <c r="A483" s="5">
        <v>45408</v>
      </c>
      <c r="C483" s="6">
        <f t="shared" si="6"/>
        <v>353.73166640613874</v>
      </c>
      <c r="D483" s="7">
        <f t="shared" si="7"/>
        <v>-76.193689410129934</v>
      </c>
      <c r="E483" s="7">
        <f t="shared" si="8"/>
        <v>783.65702222240748</v>
      </c>
    </row>
    <row r="484" spans="1:5" x14ac:dyDescent="0.25">
      <c r="A484" s="5">
        <v>45409</v>
      </c>
      <c r="C484" s="6">
        <f t="shared" si="6"/>
        <v>353.73448161832107</v>
      </c>
      <c r="D484" s="7">
        <f t="shared" si="7"/>
        <v>-78.80756797675582</v>
      </c>
      <c r="E484" s="7">
        <f t="shared" si="8"/>
        <v>786.2765312133979</v>
      </c>
    </row>
    <row r="485" spans="1:5" x14ac:dyDescent="0.25">
      <c r="A485" s="5">
        <v>45410</v>
      </c>
      <c r="C485" s="6">
        <f t="shared" si="6"/>
        <v>353.73729683050226</v>
      </c>
      <c r="D485" s="7">
        <f t="shared" ref="D485" si="9">C485-_xlfn.FORECAST.ETS.CONFINT(A485,$B$2:$B$388,$A$2:$A$388,0.95,1,1)</f>
        <v>-81.432375727009628</v>
      </c>
      <c r="E485" s="7">
        <f t="shared" si="8"/>
        <v>788.9069693880142</v>
      </c>
    </row>
  </sheetData>
  <pageMargins left="0.7" right="0.7" top="0.75" bottom="0.75" header="0.3" footer="0.3"/>
  <drawing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20"/>
  <sheetViews>
    <sheetView tabSelected="1" zoomScale="62" zoomScaleNormal="55" workbookViewId="0">
      <selection activeCell="B18" sqref="B18"/>
    </sheetView>
  </sheetViews>
  <sheetFormatPr defaultRowHeight="15" x14ac:dyDescent="0.25"/>
  <cols>
    <col min="1" max="1" width="36.140625" bestFit="1" customWidth="1"/>
    <col min="2" max="2" width="247.28515625" bestFit="1" customWidth="1"/>
    <col min="3" max="3" width="19" bestFit="1" customWidth="1"/>
    <col min="4" max="4" width="90.42578125" bestFit="1" customWidth="1"/>
    <col min="5" max="5" width="7.7109375" bestFit="1" customWidth="1"/>
    <col min="6" max="6" width="27.140625" bestFit="1" customWidth="1"/>
    <col min="7" max="7" width="23.140625" bestFit="1" customWidth="1"/>
    <col min="8" max="8" width="9.140625" customWidth="1"/>
    <col min="9" max="9" width="23.7109375" bestFit="1" customWidth="1"/>
    <col min="10" max="10" width="14.140625" bestFit="1" customWidth="1"/>
  </cols>
  <sheetData>
    <row r="1" spans="1:7" x14ac:dyDescent="0.25">
      <c r="A1" s="31" t="s">
        <v>49</v>
      </c>
    </row>
    <row r="3" spans="1:7" x14ac:dyDescent="0.25">
      <c r="A3" t="s">
        <v>50</v>
      </c>
      <c r="B3" t="s">
        <v>51</v>
      </c>
      <c r="C3" t="s">
        <v>52</v>
      </c>
      <c r="D3" t="s">
        <v>53</v>
      </c>
      <c r="F3" s="28" t="s">
        <v>14</v>
      </c>
      <c r="G3" t="s">
        <v>16</v>
      </c>
    </row>
    <row r="4" spans="1:7" x14ac:dyDescent="0.25">
      <c r="A4" t="s">
        <v>54</v>
      </c>
      <c r="B4" t="s">
        <v>56</v>
      </c>
      <c r="C4">
        <f>SUM(RetailSales[Sales])</f>
        <v>387610.83869096328</v>
      </c>
      <c r="D4" t="s">
        <v>60</v>
      </c>
      <c r="F4" s="4">
        <v>0</v>
      </c>
      <c r="G4" s="6">
        <v>823.19057291673596</v>
      </c>
    </row>
    <row r="5" spans="1:7" x14ac:dyDescent="0.25">
      <c r="A5" t="s">
        <v>55</v>
      </c>
      <c r="B5" t="s">
        <v>57</v>
      </c>
      <c r="C5">
        <f>SUM(RetailSales[Profit])</f>
        <v>96894.453035633283</v>
      </c>
      <c r="D5" t="s">
        <v>61</v>
      </c>
      <c r="F5" s="4" t="s">
        <v>12</v>
      </c>
      <c r="G5" s="6">
        <v>370971.87255793693</v>
      </c>
    </row>
    <row r="6" spans="1:7" x14ac:dyDescent="0.25">
      <c r="A6" t="s">
        <v>48</v>
      </c>
      <c r="B6" t="s">
        <v>58</v>
      </c>
      <c r="C6">
        <f>SUM(RetailSales[Quantity])</f>
        <v>3820</v>
      </c>
      <c r="D6" t="s">
        <v>62</v>
      </c>
      <c r="F6" s="4" t="s">
        <v>8</v>
      </c>
      <c r="G6" s="6">
        <v>350981.82277265954</v>
      </c>
    </row>
    <row r="7" spans="1:7" x14ac:dyDescent="0.25">
      <c r="A7" t="s">
        <v>26</v>
      </c>
      <c r="B7" t="s">
        <v>59</v>
      </c>
      <c r="C7">
        <f>AVERAGE(RetailSales[Sales])</f>
        <v>1001.5783945502927</v>
      </c>
      <c r="D7" t="s">
        <v>63</v>
      </c>
      <c r="F7" s="4" t="s">
        <v>6</v>
      </c>
      <c r="G7" s="6">
        <v>364090.40628827811</v>
      </c>
    </row>
    <row r="8" spans="1:7" x14ac:dyDescent="0.25">
      <c r="F8" s="4" t="s">
        <v>27</v>
      </c>
      <c r="G8" s="6">
        <v>347493.82708750147</v>
      </c>
    </row>
    <row r="9" spans="1:7" x14ac:dyDescent="0.25">
      <c r="F9" s="4" t="s">
        <v>28</v>
      </c>
      <c r="G9" s="6">
        <v>1106.84794911681</v>
      </c>
    </row>
    <row r="10" spans="1:7" x14ac:dyDescent="0.25">
      <c r="A10" s="30" t="s">
        <v>64</v>
      </c>
      <c r="F10" s="4" t="s">
        <v>25</v>
      </c>
      <c r="G10" s="6">
        <v>346685.06329786807</v>
      </c>
    </row>
    <row r="11" spans="1:7" x14ac:dyDescent="0.25">
      <c r="B11" t="s">
        <v>51</v>
      </c>
      <c r="F11" s="4" t="s">
        <v>13</v>
      </c>
      <c r="G11" s="6">
        <v>5266.889914690787</v>
      </c>
    </row>
    <row r="12" spans="1:7" x14ac:dyDescent="0.25">
      <c r="B12" t="s">
        <v>65</v>
      </c>
      <c r="F12" s="4" t="s">
        <v>15</v>
      </c>
      <c r="G12" s="6">
        <v>1787419.9204409684</v>
      </c>
    </row>
    <row r="20" spans="1:10" x14ac:dyDescent="0.25">
      <c r="A20" s="30" t="s">
        <v>66</v>
      </c>
      <c r="F20" s="28" t="s">
        <v>14</v>
      </c>
      <c r="G20" t="s">
        <v>16</v>
      </c>
    </row>
    <row r="21" spans="1:10" x14ac:dyDescent="0.25">
      <c r="B21" t="s">
        <v>51</v>
      </c>
      <c r="F21" s="4" t="s">
        <v>9</v>
      </c>
      <c r="G21" s="6">
        <v>393441.61450877454</v>
      </c>
    </row>
    <row r="22" spans="1:10" x14ac:dyDescent="0.25">
      <c r="B22" t="s">
        <v>67</v>
      </c>
      <c r="F22" s="4" t="s">
        <v>7</v>
      </c>
      <c r="G22" s="6">
        <v>448295.03292982193</v>
      </c>
    </row>
    <row r="23" spans="1:10" x14ac:dyDescent="0.25">
      <c r="F23" s="4" t="s">
        <v>10</v>
      </c>
      <c r="G23" s="6">
        <v>469471.28058300825</v>
      </c>
    </row>
    <row r="24" spans="1:10" x14ac:dyDescent="0.25">
      <c r="F24" s="4" t="s">
        <v>13</v>
      </c>
      <c r="G24" s="6">
        <v>5697.6225911698102</v>
      </c>
    </row>
    <row r="25" spans="1:10" x14ac:dyDescent="0.25">
      <c r="F25" s="4" t="s">
        <v>11</v>
      </c>
      <c r="G25" s="6">
        <v>470514.36982819339</v>
      </c>
    </row>
    <row r="26" spans="1:10" x14ac:dyDescent="0.25">
      <c r="F26" s="4" t="s">
        <v>15</v>
      </c>
      <c r="G26" s="6">
        <v>1787419.9204409679</v>
      </c>
    </row>
    <row r="30" spans="1:10" x14ac:dyDescent="0.25">
      <c r="A30" s="30" t="s">
        <v>68</v>
      </c>
      <c r="F30" s="28" t="s">
        <v>14</v>
      </c>
      <c r="G30" t="s">
        <v>29</v>
      </c>
    </row>
    <row r="31" spans="1:10" x14ac:dyDescent="0.25">
      <c r="B31" t="s">
        <v>51</v>
      </c>
      <c r="D31" t="s">
        <v>53</v>
      </c>
      <c r="F31" s="4" t="s">
        <v>70</v>
      </c>
      <c r="G31" s="6">
        <v>46</v>
      </c>
      <c r="I31" t="s">
        <v>20</v>
      </c>
      <c r="J31">
        <f>AVERAGE(G32:G395)</f>
        <v>50.142857142857146</v>
      </c>
    </row>
    <row r="32" spans="1:10" x14ac:dyDescent="0.25">
      <c r="B32" t="s">
        <v>69</v>
      </c>
      <c r="D32" t="s">
        <v>291</v>
      </c>
      <c r="F32" s="4" t="s">
        <v>71</v>
      </c>
      <c r="G32" s="6">
        <v>39</v>
      </c>
    </row>
    <row r="33" spans="1:7" x14ac:dyDescent="0.25">
      <c r="F33" s="4" t="s">
        <v>72</v>
      </c>
      <c r="G33" s="6">
        <v>36</v>
      </c>
    </row>
    <row r="34" spans="1:7" x14ac:dyDescent="0.25">
      <c r="F34" s="4" t="s">
        <v>73</v>
      </c>
      <c r="G34" s="6">
        <v>67</v>
      </c>
    </row>
    <row r="35" spans="1:7" x14ac:dyDescent="0.25">
      <c r="F35" s="4" t="s">
        <v>74</v>
      </c>
      <c r="G35" s="6">
        <v>51</v>
      </c>
    </row>
    <row r="36" spans="1:7" x14ac:dyDescent="0.25">
      <c r="F36" s="4" t="s">
        <v>75</v>
      </c>
      <c r="G36" s="6">
        <v>45</v>
      </c>
    </row>
    <row r="37" spans="1:7" x14ac:dyDescent="0.25">
      <c r="F37" s="4" t="s">
        <v>76</v>
      </c>
      <c r="G37" s="6">
        <v>42</v>
      </c>
    </row>
    <row r="38" spans="1:7" x14ac:dyDescent="0.25">
      <c r="F38" s="4" t="s">
        <v>77</v>
      </c>
      <c r="G38" s="6">
        <v>49</v>
      </c>
    </row>
    <row r="39" spans="1:7" x14ac:dyDescent="0.25">
      <c r="F39" s="4" t="s">
        <v>78</v>
      </c>
      <c r="G39" s="6">
        <v>29</v>
      </c>
    </row>
    <row r="40" spans="1:7" x14ac:dyDescent="0.25">
      <c r="A40" s="30" t="s">
        <v>292</v>
      </c>
      <c r="F40" s="4" t="s">
        <v>79</v>
      </c>
      <c r="G40" s="6">
        <v>63</v>
      </c>
    </row>
    <row r="41" spans="1:7" x14ac:dyDescent="0.25">
      <c r="B41" t="s">
        <v>51</v>
      </c>
      <c r="F41" s="4" t="s">
        <v>80</v>
      </c>
      <c r="G41" s="6">
        <v>48</v>
      </c>
    </row>
    <row r="42" spans="1:7" x14ac:dyDescent="0.25">
      <c r="B42" t="s">
        <v>293</v>
      </c>
      <c r="F42" s="4" t="s">
        <v>81</v>
      </c>
      <c r="G42" s="6">
        <v>58</v>
      </c>
    </row>
    <row r="43" spans="1:7" x14ac:dyDescent="0.25">
      <c r="F43" s="4" t="s">
        <v>82</v>
      </c>
      <c r="G43" s="6">
        <v>49</v>
      </c>
    </row>
    <row r="44" spans="1:7" x14ac:dyDescent="0.25">
      <c r="F44" s="4" t="s">
        <v>83</v>
      </c>
      <c r="G44" s="6">
        <v>48</v>
      </c>
    </row>
    <row r="45" spans="1:7" x14ac:dyDescent="0.25">
      <c r="F45" s="4" t="s">
        <v>84</v>
      </c>
      <c r="G45" s="6">
        <v>50</v>
      </c>
    </row>
    <row r="46" spans="1:7" x14ac:dyDescent="0.25">
      <c r="F46" s="4" t="s">
        <v>85</v>
      </c>
      <c r="G46" s="6">
        <v>55</v>
      </c>
    </row>
    <row r="47" spans="1:7" x14ac:dyDescent="0.25">
      <c r="F47" s="4" t="s">
        <v>86</v>
      </c>
      <c r="G47" s="6">
        <v>60</v>
      </c>
    </row>
    <row r="48" spans="1:7" x14ac:dyDescent="0.25">
      <c r="F48" s="4" t="s">
        <v>87</v>
      </c>
      <c r="G48" s="6">
        <v>61</v>
      </c>
    </row>
    <row r="49" spans="1:7" x14ac:dyDescent="0.25">
      <c r="F49" s="4" t="s">
        <v>88</v>
      </c>
      <c r="G49" s="6">
        <v>49</v>
      </c>
    </row>
    <row r="50" spans="1:7" x14ac:dyDescent="0.25">
      <c r="A50" s="30" t="s">
        <v>297</v>
      </c>
      <c r="F50" s="4" t="s">
        <v>89</v>
      </c>
      <c r="G50" s="6">
        <v>22</v>
      </c>
    </row>
    <row r="51" spans="1:7" x14ac:dyDescent="0.25">
      <c r="B51" t="s">
        <v>51</v>
      </c>
      <c r="D51" t="s">
        <v>299</v>
      </c>
      <c r="F51" s="4" t="s">
        <v>90</v>
      </c>
      <c r="G51" s="6">
        <v>49</v>
      </c>
    </row>
    <row r="52" spans="1:7" x14ac:dyDescent="0.25">
      <c r="B52" t="s">
        <v>298</v>
      </c>
      <c r="D52">
        <f>AVERAGE(G32:G32)</f>
        <v>39</v>
      </c>
      <c r="F52" s="4" t="s">
        <v>91</v>
      </c>
      <c r="G52" s="6">
        <v>41</v>
      </c>
    </row>
    <row r="53" spans="1:7" x14ac:dyDescent="0.25">
      <c r="D53">
        <f>AVERAGE(G32:G33)</f>
        <v>37.5</v>
      </c>
      <c r="F53" s="4" t="s">
        <v>92</v>
      </c>
      <c r="G53" s="6">
        <v>71</v>
      </c>
    </row>
    <row r="54" spans="1:7" x14ac:dyDescent="0.25">
      <c r="D54">
        <f>AVERAGE(G32:G34)</f>
        <v>47.333333333333336</v>
      </c>
      <c r="F54" s="4" t="s">
        <v>93</v>
      </c>
      <c r="G54" s="6">
        <v>56</v>
      </c>
    </row>
    <row r="55" spans="1:7" x14ac:dyDescent="0.25">
      <c r="D55">
        <f>AVERAGE(G32:G35)</f>
        <v>48.25</v>
      </c>
      <c r="F55" s="4" t="s">
        <v>94</v>
      </c>
      <c r="G55" s="6">
        <v>72</v>
      </c>
    </row>
    <row r="56" spans="1:7" x14ac:dyDescent="0.25">
      <c r="D56">
        <f>AVERAGE(G32:G36)</f>
        <v>47.6</v>
      </c>
      <c r="F56" s="4" t="s">
        <v>95</v>
      </c>
      <c r="G56" s="6">
        <v>74</v>
      </c>
    </row>
    <row r="57" spans="1:7" x14ac:dyDescent="0.25">
      <c r="D57">
        <f>AVERAGE(G32:G37)</f>
        <v>46.666666666666664</v>
      </c>
      <c r="F57" s="4" t="s">
        <v>96</v>
      </c>
      <c r="G57" s="6">
        <v>46</v>
      </c>
    </row>
    <row r="58" spans="1:7" x14ac:dyDescent="0.25">
      <c r="D58">
        <f>AVERAGE(G32:G38)</f>
        <v>47</v>
      </c>
      <c r="F58" s="4" t="s">
        <v>97</v>
      </c>
      <c r="G58" s="6">
        <v>56</v>
      </c>
    </row>
    <row r="59" spans="1:7" x14ac:dyDescent="0.25">
      <c r="F59" s="4" t="s">
        <v>98</v>
      </c>
      <c r="G59" s="6">
        <v>57</v>
      </c>
    </row>
    <row r="60" spans="1:7" x14ac:dyDescent="0.25">
      <c r="A60" s="30" t="s">
        <v>300</v>
      </c>
      <c r="F60" s="4" t="s">
        <v>99</v>
      </c>
      <c r="G60" s="6">
        <v>57</v>
      </c>
    </row>
    <row r="61" spans="1:7" x14ac:dyDescent="0.25">
      <c r="B61" t="s">
        <v>51</v>
      </c>
      <c r="D61" t="s">
        <v>53</v>
      </c>
      <c r="F61" s="4" t="s">
        <v>100</v>
      </c>
      <c r="G61" s="6">
        <v>60</v>
      </c>
    </row>
    <row r="62" spans="1:7" x14ac:dyDescent="0.25">
      <c r="B62" t="s">
        <v>301</v>
      </c>
      <c r="D62" t="s">
        <v>302</v>
      </c>
      <c r="F62" s="4" t="s">
        <v>101</v>
      </c>
      <c r="G62" s="6">
        <v>44</v>
      </c>
    </row>
    <row r="63" spans="1:7" x14ac:dyDescent="0.25">
      <c r="C63" t="s">
        <v>52</v>
      </c>
      <c r="F63" s="4" t="s">
        <v>102</v>
      </c>
      <c r="G63" s="6">
        <v>60</v>
      </c>
    </row>
    <row r="64" spans="1:7" x14ac:dyDescent="0.25">
      <c r="C64" s="28" t="s">
        <v>14</v>
      </c>
      <c r="D64" t="s">
        <v>16</v>
      </c>
      <c r="E64" t="s">
        <v>303</v>
      </c>
      <c r="F64" s="4" t="s">
        <v>103</v>
      </c>
      <c r="G64" s="6">
        <v>41</v>
      </c>
    </row>
    <row r="65" spans="3:7" x14ac:dyDescent="0.25">
      <c r="C65" s="4">
        <v>0</v>
      </c>
      <c r="D65" s="6">
        <v>823.19057291673596</v>
      </c>
      <c r="E65">
        <f>RANK(G61,$G$61:$G$65,0)</f>
        <v>1</v>
      </c>
      <c r="F65" s="4" t="s">
        <v>104</v>
      </c>
      <c r="G65" s="6">
        <v>34</v>
      </c>
    </row>
    <row r="66" spans="3:7" x14ac:dyDescent="0.25">
      <c r="C66" s="4" t="s">
        <v>12</v>
      </c>
      <c r="D66" s="6">
        <v>370971.87255793693</v>
      </c>
      <c r="E66">
        <f t="shared" ref="E66:E72" si="0">RANK(G62,$G$61:$G$65,0)</f>
        <v>3</v>
      </c>
      <c r="F66" s="4" t="s">
        <v>105</v>
      </c>
      <c r="G66" s="6">
        <v>27</v>
      </c>
    </row>
    <row r="67" spans="3:7" x14ac:dyDescent="0.25">
      <c r="C67" s="4" t="s">
        <v>8</v>
      </c>
      <c r="D67" s="6">
        <v>350981.82277265954</v>
      </c>
      <c r="E67">
        <f t="shared" si="0"/>
        <v>1</v>
      </c>
      <c r="F67" s="4" t="s">
        <v>106</v>
      </c>
      <c r="G67" s="6">
        <v>49</v>
      </c>
    </row>
    <row r="68" spans="3:7" x14ac:dyDescent="0.25">
      <c r="C68" s="4" t="s">
        <v>6</v>
      </c>
      <c r="D68" s="6">
        <v>364090.40628827811</v>
      </c>
      <c r="E68">
        <f t="shared" si="0"/>
        <v>4</v>
      </c>
      <c r="F68" s="4" t="s">
        <v>107</v>
      </c>
      <c r="G68" s="6">
        <v>36</v>
      </c>
    </row>
    <row r="69" spans="3:7" x14ac:dyDescent="0.25">
      <c r="C69" s="4" t="s">
        <v>27</v>
      </c>
      <c r="D69" s="6">
        <v>347493.82708750147</v>
      </c>
      <c r="E69">
        <f t="shared" si="0"/>
        <v>5</v>
      </c>
      <c r="F69" s="4" t="s">
        <v>108</v>
      </c>
      <c r="G69" s="6">
        <v>34</v>
      </c>
    </row>
    <row r="70" spans="3:7" x14ac:dyDescent="0.25">
      <c r="C70" s="4" t="s">
        <v>28</v>
      </c>
      <c r="D70" s="6">
        <v>1106.84794911681</v>
      </c>
      <c r="F70" s="4" t="s">
        <v>109</v>
      </c>
      <c r="G70" s="6">
        <v>67</v>
      </c>
    </row>
    <row r="71" spans="3:7" x14ac:dyDescent="0.25">
      <c r="C71" s="4" t="s">
        <v>25</v>
      </c>
      <c r="D71" s="6">
        <v>346685.06329786807</v>
      </c>
      <c r="F71" s="4" t="s">
        <v>110</v>
      </c>
      <c r="G71" s="6">
        <v>45</v>
      </c>
    </row>
    <row r="72" spans="3:7" x14ac:dyDescent="0.25">
      <c r="C72" s="4" t="s">
        <v>13</v>
      </c>
      <c r="D72" s="6">
        <v>5266.889914690787</v>
      </c>
      <c r="F72" s="4" t="s">
        <v>111</v>
      </c>
      <c r="G72" s="6">
        <v>49</v>
      </c>
    </row>
    <row r="73" spans="3:7" x14ac:dyDescent="0.25">
      <c r="C73" s="4" t="s">
        <v>15</v>
      </c>
      <c r="D73" s="6">
        <v>1787419.9204409684</v>
      </c>
      <c r="F73" s="4" t="s">
        <v>112</v>
      </c>
      <c r="G73" s="6">
        <v>43</v>
      </c>
    </row>
    <row r="74" spans="3:7" x14ac:dyDescent="0.25">
      <c r="F74" s="4" t="s">
        <v>113</v>
      </c>
      <c r="G74" s="6">
        <v>35</v>
      </c>
    </row>
    <row r="75" spans="3:7" x14ac:dyDescent="0.25">
      <c r="F75" s="4" t="s">
        <v>114</v>
      </c>
      <c r="G75" s="6">
        <v>57</v>
      </c>
    </row>
    <row r="76" spans="3:7" x14ac:dyDescent="0.25">
      <c r="F76" s="4" t="s">
        <v>115</v>
      </c>
      <c r="G76" s="6">
        <v>38</v>
      </c>
    </row>
    <row r="77" spans="3:7" x14ac:dyDescent="0.25">
      <c r="F77" s="4" t="s">
        <v>116</v>
      </c>
      <c r="G77" s="6">
        <v>49</v>
      </c>
    </row>
    <row r="78" spans="3:7" x14ac:dyDescent="0.25">
      <c r="F78" s="4" t="s">
        <v>117</v>
      </c>
      <c r="G78" s="6">
        <v>46</v>
      </c>
    </row>
    <row r="79" spans="3:7" x14ac:dyDescent="0.25">
      <c r="F79" s="4" t="s">
        <v>118</v>
      </c>
      <c r="G79" s="6">
        <v>64</v>
      </c>
    </row>
    <row r="80" spans="3:7" x14ac:dyDescent="0.25">
      <c r="F80" s="4" t="s">
        <v>119</v>
      </c>
      <c r="G80" s="6">
        <v>67</v>
      </c>
    </row>
    <row r="81" spans="6:7" x14ac:dyDescent="0.25">
      <c r="F81" s="4" t="s">
        <v>120</v>
      </c>
      <c r="G81" s="6">
        <v>56</v>
      </c>
    </row>
    <row r="82" spans="6:7" x14ac:dyDescent="0.25">
      <c r="F82" s="4" t="s">
        <v>121</v>
      </c>
      <c r="G82" s="6">
        <v>66</v>
      </c>
    </row>
    <row r="83" spans="6:7" x14ac:dyDescent="0.25">
      <c r="F83" s="4" t="s">
        <v>122</v>
      </c>
      <c r="G83" s="6">
        <v>32</v>
      </c>
    </row>
    <row r="84" spans="6:7" x14ac:dyDescent="0.25">
      <c r="F84" s="4" t="s">
        <v>123</v>
      </c>
      <c r="G84" s="6">
        <v>41</v>
      </c>
    </row>
    <row r="85" spans="6:7" x14ac:dyDescent="0.25">
      <c r="F85" s="4" t="s">
        <v>124</v>
      </c>
      <c r="G85" s="6">
        <v>29</v>
      </c>
    </row>
    <row r="86" spans="6:7" x14ac:dyDescent="0.25">
      <c r="F86" s="4" t="s">
        <v>125</v>
      </c>
      <c r="G86" s="6">
        <v>50</v>
      </c>
    </row>
    <row r="87" spans="6:7" x14ac:dyDescent="0.25">
      <c r="F87" s="4" t="s">
        <v>126</v>
      </c>
      <c r="G87" s="6">
        <v>62</v>
      </c>
    </row>
    <row r="88" spans="6:7" x14ac:dyDescent="0.25">
      <c r="F88" s="4" t="s">
        <v>127</v>
      </c>
      <c r="G88" s="6">
        <v>37</v>
      </c>
    </row>
    <row r="89" spans="6:7" x14ac:dyDescent="0.25">
      <c r="F89" s="4" t="s">
        <v>128</v>
      </c>
      <c r="G89" s="6">
        <v>50</v>
      </c>
    </row>
    <row r="90" spans="6:7" x14ac:dyDescent="0.25">
      <c r="F90" s="4" t="s">
        <v>129</v>
      </c>
      <c r="G90" s="6">
        <v>56</v>
      </c>
    </row>
    <row r="91" spans="6:7" x14ac:dyDescent="0.25">
      <c r="F91" s="4" t="s">
        <v>130</v>
      </c>
      <c r="G91" s="6">
        <v>52</v>
      </c>
    </row>
    <row r="92" spans="6:7" x14ac:dyDescent="0.25">
      <c r="F92" s="4" t="s">
        <v>131</v>
      </c>
      <c r="G92" s="6">
        <v>41</v>
      </c>
    </row>
    <row r="93" spans="6:7" x14ac:dyDescent="0.25">
      <c r="F93" s="4" t="s">
        <v>132</v>
      </c>
      <c r="G93" s="6">
        <v>51</v>
      </c>
    </row>
    <row r="94" spans="6:7" x14ac:dyDescent="0.25">
      <c r="F94" s="4" t="s">
        <v>133</v>
      </c>
      <c r="G94" s="6">
        <v>56</v>
      </c>
    </row>
    <row r="95" spans="6:7" x14ac:dyDescent="0.25">
      <c r="F95" s="4" t="s">
        <v>134</v>
      </c>
      <c r="G95" s="6">
        <v>61</v>
      </c>
    </row>
    <row r="96" spans="6:7" x14ac:dyDescent="0.25">
      <c r="F96" s="4" t="s">
        <v>135</v>
      </c>
      <c r="G96" s="6">
        <v>54</v>
      </c>
    </row>
    <row r="97" spans="6:7" x14ac:dyDescent="0.25">
      <c r="F97" s="4" t="s">
        <v>136</v>
      </c>
      <c r="G97" s="6">
        <v>40</v>
      </c>
    </row>
    <row r="98" spans="6:7" x14ac:dyDescent="0.25">
      <c r="F98" s="4" t="s">
        <v>137</v>
      </c>
      <c r="G98" s="6">
        <v>63</v>
      </c>
    </row>
    <row r="99" spans="6:7" x14ac:dyDescent="0.25">
      <c r="F99" s="4" t="s">
        <v>138</v>
      </c>
      <c r="G99" s="6">
        <v>53</v>
      </c>
    </row>
    <row r="100" spans="6:7" x14ac:dyDescent="0.25">
      <c r="F100" s="4" t="s">
        <v>139</v>
      </c>
      <c r="G100" s="6">
        <v>63</v>
      </c>
    </row>
    <row r="101" spans="6:7" x14ac:dyDescent="0.25">
      <c r="F101" s="4" t="s">
        <v>140</v>
      </c>
      <c r="G101" s="6">
        <v>39</v>
      </c>
    </row>
    <row r="102" spans="6:7" x14ac:dyDescent="0.25">
      <c r="F102" s="4" t="s">
        <v>141</v>
      </c>
      <c r="G102" s="6">
        <v>29</v>
      </c>
    </row>
    <row r="103" spans="6:7" x14ac:dyDescent="0.25">
      <c r="F103" s="4" t="s">
        <v>142</v>
      </c>
      <c r="G103" s="6">
        <v>19</v>
      </c>
    </row>
    <row r="104" spans="6:7" x14ac:dyDescent="0.25">
      <c r="F104" s="4" t="s">
        <v>143</v>
      </c>
      <c r="G104" s="6">
        <v>40</v>
      </c>
    </row>
    <row r="105" spans="6:7" x14ac:dyDescent="0.25">
      <c r="F105" s="4" t="s">
        <v>144</v>
      </c>
      <c r="G105" s="6">
        <v>63</v>
      </c>
    </row>
    <row r="106" spans="6:7" x14ac:dyDescent="0.25">
      <c r="F106" s="4" t="s">
        <v>145</v>
      </c>
      <c r="G106" s="6">
        <v>65</v>
      </c>
    </row>
    <row r="107" spans="6:7" x14ac:dyDescent="0.25">
      <c r="F107" s="4" t="s">
        <v>146</v>
      </c>
      <c r="G107" s="6">
        <v>37</v>
      </c>
    </row>
    <row r="108" spans="6:7" x14ac:dyDescent="0.25">
      <c r="F108" s="4" t="s">
        <v>147</v>
      </c>
      <c r="G108" s="6">
        <v>58</v>
      </c>
    </row>
    <row r="109" spans="6:7" x14ac:dyDescent="0.25">
      <c r="F109" s="4" t="s">
        <v>148</v>
      </c>
      <c r="G109" s="6">
        <v>67</v>
      </c>
    </row>
    <row r="110" spans="6:7" x14ac:dyDescent="0.25">
      <c r="F110" s="4" t="s">
        <v>149</v>
      </c>
      <c r="G110" s="6">
        <v>62</v>
      </c>
    </row>
    <row r="111" spans="6:7" x14ac:dyDescent="0.25">
      <c r="F111" s="4" t="s">
        <v>150</v>
      </c>
      <c r="G111" s="6">
        <v>35</v>
      </c>
    </row>
    <row r="112" spans="6:7" x14ac:dyDescent="0.25">
      <c r="F112" s="4" t="s">
        <v>151</v>
      </c>
      <c r="G112" s="6">
        <v>45</v>
      </c>
    </row>
    <row r="113" spans="6:7" x14ac:dyDescent="0.25">
      <c r="F113" s="4" t="s">
        <v>152</v>
      </c>
      <c r="G113" s="6">
        <v>58</v>
      </c>
    </row>
    <row r="114" spans="6:7" x14ac:dyDescent="0.25">
      <c r="F114" s="4" t="s">
        <v>153</v>
      </c>
      <c r="G114" s="6">
        <v>42</v>
      </c>
    </row>
    <row r="115" spans="6:7" x14ac:dyDescent="0.25">
      <c r="F115" s="4" t="s">
        <v>154</v>
      </c>
      <c r="G115" s="6">
        <v>51</v>
      </c>
    </row>
    <row r="116" spans="6:7" x14ac:dyDescent="0.25">
      <c r="F116" s="4" t="s">
        <v>155</v>
      </c>
      <c r="G116" s="6">
        <v>38</v>
      </c>
    </row>
    <row r="117" spans="6:7" x14ac:dyDescent="0.25">
      <c r="F117" s="4" t="s">
        <v>156</v>
      </c>
      <c r="G117" s="6">
        <v>58</v>
      </c>
    </row>
    <row r="118" spans="6:7" x14ac:dyDescent="0.25">
      <c r="F118" s="4" t="s">
        <v>157</v>
      </c>
      <c r="G118" s="6">
        <v>63</v>
      </c>
    </row>
    <row r="119" spans="6:7" x14ac:dyDescent="0.25">
      <c r="F119" s="4" t="s">
        <v>158</v>
      </c>
      <c r="G119" s="6">
        <v>58</v>
      </c>
    </row>
    <row r="120" spans="6:7" x14ac:dyDescent="0.25">
      <c r="F120" s="4" t="s">
        <v>159</v>
      </c>
      <c r="G120" s="6">
        <v>37</v>
      </c>
    </row>
    <row r="121" spans="6:7" x14ac:dyDescent="0.25">
      <c r="F121" s="4" t="s">
        <v>160</v>
      </c>
      <c r="G121" s="6">
        <v>54</v>
      </c>
    </row>
    <row r="122" spans="6:7" x14ac:dyDescent="0.25">
      <c r="F122" s="4" t="s">
        <v>161</v>
      </c>
      <c r="G122" s="6">
        <v>40</v>
      </c>
    </row>
    <row r="123" spans="6:7" x14ac:dyDescent="0.25">
      <c r="F123" s="4" t="s">
        <v>162</v>
      </c>
      <c r="G123" s="6">
        <v>66</v>
      </c>
    </row>
    <row r="124" spans="6:7" x14ac:dyDescent="0.25">
      <c r="F124" s="4" t="s">
        <v>163</v>
      </c>
      <c r="G124" s="6">
        <v>59</v>
      </c>
    </row>
    <row r="125" spans="6:7" x14ac:dyDescent="0.25">
      <c r="F125" s="4" t="s">
        <v>164</v>
      </c>
      <c r="G125" s="6">
        <v>45</v>
      </c>
    </row>
    <row r="126" spans="6:7" x14ac:dyDescent="0.25">
      <c r="F126" s="4" t="s">
        <v>165</v>
      </c>
      <c r="G126" s="6">
        <v>22</v>
      </c>
    </row>
    <row r="127" spans="6:7" x14ac:dyDescent="0.25">
      <c r="F127" s="4" t="s">
        <v>166</v>
      </c>
      <c r="G127" s="6">
        <v>48</v>
      </c>
    </row>
    <row r="128" spans="6:7" x14ac:dyDescent="0.25">
      <c r="F128" s="4" t="s">
        <v>167</v>
      </c>
      <c r="G128" s="6">
        <v>51</v>
      </c>
    </row>
    <row r="129" spans="6:7" x14ac:dyDescent="0.25">
      <c r="F129" s="4" t="s">
        <v>168</v>
      </c>
      <c r="G129" s="6">
        <v>65</v>
      </c>
    </row>
    <row r="130" spans="6:7" x14ac:dyDescent="0.25">
      <c r="F130" s="4" t="s">
        <v>169</v>
      </c>
      <c r="G130" s="6">
        <v>44</v>
      </c>
    </row>
    <row r="131" spans="6:7" x14ac:dyDescent="0.25">
      <c r="F131" s="4" t="s">
        <v>170</v>
      </c>
      <c r="G131" s="6">
        <v>45</v>
      </c>
    </row>
    <row r="132" spans="6:7" x14ac:dyDescent="0.25">
      <c r="F132" s="4" t="s">
        <v>171</v>
      </c>
      <c r="G132" s="6">
        <v>30</v>
      </c>
    </row>
    <row r="133" spans="6:7" x14ac:dyDescent="0.25">
      <c r="F133" s="4" t="s">
        <v>172</v>
      </c>
      <c r="G133" s="6">
        <v>37</v>
      </c>
    </row>
    <row r="134" spans="6:7" x14ac:dyDescent="0.25">
      <c r="F134" s="4" t="s">
        <v>173</v>
      </c>
      <c r="G134" s="6">
        <v>34</v>
      </c>
    </row>
    <row r="135" spans="6:7" x14ac:dyDescent="0.25">
      <c r="F135" s="4" t="s">
        <v>174</v>
      </c>
      <c r="G135" s="6">
        <v>38</v>
      </c>
    </row>
    <row r="136" spans="6:7" x14ac:dyDescent="0.25">
      <c r="F136" s="4" t="s">
        <v>175</v>
      </c>
      <c r="G136" s="6">
        <v>58</v>
      </c>
    </row>
    <row r="137" spans="6:7" x14ac:dyDescent="0.25">
      <c r="F137" s="4" t="s">
        <v>176</v>
      </c>
      <c r="G137" s="6">
        <v>48</v>
      </c>
    </row>
    <row r="138" spans="6:7" x14ac:dyDescent="0.25">
      <c r="F138" s="4" t="s">
        <v>177</v>
      </c>
      <c r="G138" s="6">
        <v>40</v>
      </c>
    </row>
    <row r="139" spans="6:7" x14ac:dyDescent="0.25">
      <c r="F139" s="4" t="s">
        <v>178</v>
      </c>
      <c r="G139" s="6">
        <v>31</v>
      </c>
    </row>
    <row r="140" spans="6:7" x14ac:dyDescent="0.25">
      <c r="F140" s="4" t="s">
        <v>179</v>
      </c>
      <c r="G140" s="6">
        <v>58</v>
      </c>
    </row>
    <row r="141" spans="6:7" x14ac:dyDescent="0.25">
      <c r="F141" s="4" t="s">
        <v>180</v>
      </c>
      <c r="G141" s="6">
        <v>32</v>
      </c>
    </row>
    <row r="142" spans="6:7" x14ac:dyDescent="0.25">
      <c r="F142" s="4" t="s">
        <v>181</v>
      </c>
      <c r="G142" s="6">
        <v>50</v>
      </c>
    </row>
    <row r="143" spans="6:7" x14ac:dyDescent="0.25">
      <c r="F143" s="4" t="s">
        <v>182</v>
      </c>
      <c r="G143" s="6">
        <v>33</v>
      </c>
    </row>
    <row r="144" spans="6:7" x14ac:dyDescent="0.25">
      <c r="F144" s="4" t="s">
        <v>183</v>
      </c>
      <c r="G144" s="6">
        <v>78</v>
      </c>
    </row>
    <row r="145" spans="6:7" x14ac:dyDescent="0.25">
      <c r="F145" s="4" t="s">
        <v>184</v>
      </c>
      <c r="G145" s="6">
        <v>64</v>
      </c>
    </row>
    <row r="146" spans="6:7" x14ac:dyDescent="0.25">
      <c r="F146" s="4" t="s">
        <v>185</v>
      </c>
      <c r="G146" s="6">
        <v>50</v>
      </c>
    </row>
    <row r="147" spans="6:7" x14ac:dyDescent="0.25">
      <c r="F147" s="4" t="s">
        <v>186</v>
      </c>
      <c r="G147" s="6">
        <v>37</v>
      </c>
    </row>
    <row r="148" spans="6:7" x14ac:dyDescent="0.25">
      <c r="F148" s="4" t="s">
        <v>187</v>
      </c>
      <c r="G148" s="6">
        <v>60</v>
      </c>
    </row>
    <row r="149" spans="6:7" x14ac:dyDescent="0.25">
      <c r="F149" s="4" t="s">
        <v>188</v>
      </c>
      <c r="G149" s="6">
        <v>60</v>
      </c>
    </row>
    <row r="150" spans="6:7" x14ac:dyDescent="0.25">
      <c r="F150" s="4" t="s">
        <v>189</v>
      </c>
      <c r="G150" s="6">
        <v>27</v>
      </c>
    </row>
    <row r="151" spans="6:7" x14ac:dyDescent="0.25">
      <c r="F151" s="4" t="s">
        <v>190</v>
      </c>
      <c r="G151" s="6">
        <v>40</v>
      </c>
    </row>
    <row r="152" spans="6:7" x14ac:dyDescent="0.25">
      <c r="F152" s="4" t="s">
        <v>191</v>
      </c>
      <c r="G152" s="6">
        <v>50</v>
      </c>
    </row>
    <row r="153" spans="6:7" x14ac:dyDescent="0.25">
      <c r="F153" s="4" t="s">
        <v>192</v>
      </c>
      <c r="G153" s="6">
        <v>60</v>
      </c>
    </row>
    <row r="154" spans="6:7" x14ac:dyDescent="0.25">
      <c r="F154" s="4" t="s">
        <v>193</v>
      </c>
      <c r="G154" s="6">
        <v>54</v>
      </c>
    </row>
    <row r="155" spans="6:7" x14ac:dyDescent="0.25">
      <c r="F155" s="4" t="s">
        <v>194</v>
      </c>
      <c r="G155" s="6">
        <v>32</v>
      </c>
    </row>
    <row r="156" spans="6:7" x14ac:dyDescent="0.25">
      <c r="F156" s="4" t="s">
        <v>195</v>
      </c>
      <c r="G156" s="6">
        <v>63</v>
      </c>
    </row>
    <row r="157" spans="6:7" x14ac:dyDescent="0.25">
      <c r="F157" s="4" t="s">
        <v>196</v>
      </c>
      <c r="G157" s="6">
        <v>54</v>
      </c>
    </row>
    <row r="158" spans="6:7" x14ac:dyDescent="0.25">
      <c r="F158" s="4" t="s">
        <v>197</v>
      </c>
      <c r="G158" s="6">
        <v>34</v>
      </c>
    </row>
    <row r="159" spans="6:7" x14ac:dyDescent="0.25">
      <c r="F159" s="4" t="s">
        <v>198</v>
      </c>
      <c r="G159" s="6">
        <v>63</v>
      </c>
    </row>
    <row r="160" spans="6:7" x14ac:dyDescent="0.25">
      <c r="F160" s="4" t="s">
        <v>199</v>
      </c>
      <c r="G160" s="6">
        <v>66</v>
      </c>
    </row>
    <row r="161" spans="6:7" x14ac:dyDescent="0.25">
      <c r="F161" s="4" t="s">
        <v>200</v>
      </c>
      <c r="G161" s="6">
        <v>84</v>
      </c>
    </row>
    <row r="162" spans="6:7" x14ac:dyDescent="0.25">
      <c r="F162" s="4" t="s">
        <v>201</v>
      </c>
      <c r="G162" s="6">
        <v>39</v>
      </c>
    </row>
    <row r="163" spans="6:7" x14ac:dyDescent="0.25">
      <c r="F163" s="4" t="s">
        <v>202</v>
      </c>
      <c r="G163" s="6">
        <v>58</v>
      </c>
    </row>
    <row r="164" spans="6:7" x14ac:dyDescent="0.25">
      <c r="F164" s="4" t="s">
        <v>203</v>
      </c>
      <c r="G164" s="6">
        <v>39</v>
      </c>
    </row>
    <row r="165" spans="6:7" x14ac:dyDescent="0.25">
      <c r="F165" s="4" t="s">
        <v>204</v>
      </c>
      <c r="G165" s="6">
        <v>50</v>
      </c>
    </row>
    <row r="166" spans="6:7" x14ac:dyDescent="0.25">
      <c r="F166" s="4" t="s">
        <v>205</v>
      </c>
      <c r="G166" s="6">
        <v>29</v>
      </c>
    </row>
    <row r="167" spans="6:7" x14ac:dyDescent="0.25">
      <c r="F167" s="4" t="s">
        <v>206</v>
      </c>
      <c r="G167" s="6">
        <v>40</v>
      </c>
    </row>
    <row r="168" spans="6:7" x14ac:dyDescent="0.25">
      <c r="F168" s="4" t="s">
        <v>207</v>
      </c>
      <c r="G168" s="6">
        <v>76</v>
      </c>
    </row>
    <row r="169" spans="6:7" x14ac:dyDescent="0.25">
      <c r="F169" s="4" t="s">
        <v>208</v>
      </c>
      <c r="G169" s="6">
        <v>55</v>
      </c>
    </row>
    <row r="170" spans="6:7" x14ac:dyDescent="0.25">
      <c r="F170" s="4" t="s">
        <v>209</v>
      </c>
      <c r="G170" s="6">
        <v>41</v>
      </c>
    </row>
    <row r="171" spans="6:7" x14ac:dyDescent="0.25">
      <c r="F171" s="4" t="s">
        <v>210</v>
      </c>
      <c r="G171" s="6">
        <v>63</v>
      </c>
    </row>
    <row r="172" spans="6:7" x14ac:dyDescent="0.25">
      <c r="F172" s="4" t="s">
        <v>211</v>
      </c>
      <c r="G172" s="6">
        <v>52</v>
      </c>
    </row>
    <row r="173" spans="6:7" x14ac:dyDescent="0.25">
      <c r="F173" s="4" t="s">
        <v>212</v>
      </c>
      <c r="G173" s="6">
        <v>35</v>
      </c>
    </row>
    <row r="174" spans="6:7" x14ac:dyDescent="0.25">
      <c r="F174" s="4" t="s">
        <v>213</v>
      </c>
      <c r="G174" s="6">
        <v>51</v>
      </c>
    </row>
    <row r="175" spans="6:7" x14ac:dyDescent="0.25">
      <c r="F175" s="4" t="s">
        <v>214</v>
      </c>
      <c r="G175" s="6">
        <v>43</v>
      </c>
    </row>
    <row r="176" spans="6:7" x14ac:dyDescent="0.25">
      <c r="F176" s="4" t="s">
        <v>215</v>
      </c>
      <c r="G176" s="6">
        <v>44</v>
      </c>
    </row>
    <row r="177" spans="6:7" x14ac:dyDescent="0.25">
      <c r="F177" s="4" t="s">
        <v>216</v>
      </c>
      <c r="G177" s="6">
        <v>52</v>
      </c>
    </row>
    <row r="178" spans="6:7" x14ac:dyDescent="0.25">
      <c r="F178" s="4" t="s">
        <v>217</v>
      </c>
      <c r="G178" s="6">
        <v>53</v>
      </c>
    </row>
    <row r="179" spans="6:7" x14ac:dyDescent="0.25">
      <c r="F179" s="4" t="s">
        <v>218</v>
      </c>
      <c r="G179" s="6">
        <v>32</v>
      </c>
    </row>
    <row r="180" spans="6:7" x14ac:dyDescent="0.25">
      <c r="F180" s="4" t="s">
        <v>219</v>
      </c>
      <c r="G180" s="6">
        <v>56</v>
      </c>
    </row>
    <row r="181" spans="6:7" x14ac:dyDescent="0.25">
      <c r="F181" s="4" t="s">
        <v>220</v>
      </c>
      <c r="G181" s="6">
        <v>61</v>
      </c>
    </row>
    <row r="182" spans="6:7" x14ac:dyDescent="0.25">
      <c r="F182" s="4" t="s">
        <v>221</v>
      </c>
      <c r="G182" s="6">
        <v>61</v>
      </c>
    </row>
    <row r="183" spans="6:7" x14ac:dyDescent="0.25">
      <c r="F183" s="4" t="s">
        <v>222</v>
      </c>
      <c r="G183" s="6">
        <v>51</v>
      </c>
    </row>
    <row r="184" spans="6:7" x14ac:dyDescent="0.25">
      <c r="F184" s="4" t="s">
        <v>223</v>
      </c>
      <c r="G184" s="6">
        <v>46</v>
      </c>
    </row>
    <row r="185" spans="6:7" x14ac:dyDescent="0.25">
      <c r="F185" s="4" t="s">
        <v>224</v>
      </c>
      <c r="G185" s="6">
        <v>49</v>
      </c>
    </row>
    <row r="186" spans="6:7" x14ac:dyDescent="0.25">
      <c r="F186" s="4" t="s">
        <v>225</v>
      </c>
      <c r="G186" s="6">
        <v>53</v>
      </c>
    </row>
    <row r="187" spans="6:7" x14ac:dyDescent="0.25">
      <c r="F187" s="4" t="s">
        <v>226</v>
      </c>
      <c r="G187" s="6">
        <v>53</v>
      </c>
    </row>
    <row r="188" spans="6:7" x14ac:dyDescent="0.25">
      <c r="F188" s="4" t="s">
        <v>227</v>
      </c>
      <c r="G188" s="6">
        <v>40</v>
      </c>
    </row>
    <row r="189" spans="6:7" x14ac:dyDescent="0.25">
      <c r="F189" s="4" t="s">
        <v>228</v>
      </c>
      <c r="G189" s="6">
        <v>59</v>
      </c>
    </row>
    <row r="190" spans="6:7" x14ac:dyDescent="0.25">
      <c r="F190" s="4" t="s">
        <v>229</v>
      </c>
      <c r="G190" s="6">
        <v>47</v>
      </c>
    </row>
    <row r="191" spans="6:7" x14ac:dyDescent="0.25">
      <c r="F191" s="4" t="s">
        <v>230</v>
      </c>
      <c r="G191" s="6">
        <v>42</v>
      </c>
    </row>
    <row r="192" spans="6:7" x14ac:dyDescent="0.25">
      <c r="F192" s="4" t="s">
        <v>231</v>
      </c>
      <c r="G192" s="6">
        <v>67</v>
      </c>
    </row>
    <row r="193" spans="6:7" x14ac:dyDescent="0.25">
      <c r="F193" s="4" t="s">
        <v>232</v>
      </c>
      <c r="G193" s="6">
        <v>57</v>
      </c>
    </row>
    <row r="194" spans="6:7" x14ac:dyDescent="0.25">
      <c r="F194" s="4" t="s">
        <v>233</v>
      </c>
      <c r="G194" s="6">
        <v>82</v>
      </c>
    </row>
    <row r="195" spans="6:7" x14ac:dyDescent="0.25">
      <c r="F195" s="4" t="s">
        <v>234</v>
      </c>
      <c r="G195" s="6">
        <v>59</v>
      </c>
    </row>
    <row r="196" spans="6:7" x14ac:dyDescent="0.25">
      <c r="F196" s="4" t="s">
        <v>235</v>
      </c>
      <c r="G196" s="6">
        <v>70</v>
      </c>
    </row>
    <row r="197" spans="6:7" x14ac:dyDescent="0.25">
      <c r="F197" s="4" t="s">
        <v>236</v>
      </c>
      <c r="G197" s="6">
        <v>43</v>
      </c>
    </row>
    <row r="198" spans="6:7" x14ac:dyDescent="0.25">
      <c r="F198" s="4" t="s">
        <v>237</v>
      </c>
      <c r="G198" s="6">
        <v>40</v>
      </c>
    </row>
    <row r="199" spans="6:7" x14ac:dyDescent="0.25">
      <c r="F199" s="4" t="s">
        <v>238</v>
      </c>
      <c r="G199" s="6">
        <v>60</v>
      </c>
    </row>
    <row r="200" spans="6:7" x14ac:dyDescent="0.25">
      <c r="F200" s="4" t="s">
        <v>239</v>
      </c>
      <c r="G200" s="6">
        <v>54</v>
      </c>
    </row>
    <row r="201" spans="6:7" x14ac:dyDescent="0.25">
      <c r="F201" s="4" t="s">
        <v>240</v>
      </c>
      <c r="G201" s="6">
        <v>42</v>
      </c>
    </row>
    <row r="202" spans="6:7" x14ac:dyDescent="0.25">
      <c r="F202" s="4" t="s">
        <v>241</v>
      </c>
      <c r="G202" s="6">
        <v>38</v>
      </c>
    </row>
    <row r="203" spans="6:7" x14ac:dyDescent="0.25">
      <c r="F203" s="4" t="s">
        <v>242</v>
      </c>
      <c r="G203" s="6">
        <v>55</v>
      </c>
    </row>
    <row r="204" spans="6:7" x14ac:dyDescent="0.25">
      <c r="F204" s="4" t="s">
        <v>243</v>
      </c>
      <c r="G204" s="6">
        <v>47</v>
      </c>
    </row>
    <row r="205" spans="6:7" x14ac:dyDescent="0.25">
      <c r="F205" s="4" t="s">
        <v>244</v>
      </c>
      <c r="G205" s="6">
        <v>33</v>
      </c>
    </row>
    <row r="206" spans="6:7" x14ac:dyDescent="0.25">
      <c r="F206" s="4" t="s">
        <v>245</v>
      </c>
      <c r="G206" s="6">
        <v>67</v>
      </c>
    </row>
    <row r="207" spans="6:7" x14ac:dyDescent="0.25">
      <c r="F207" s="4" t="s">
        <v>246</v>
      </c>
      <c r="G207" s="6">
        <v>35</v>
      </c>
    </row>
    <row r="208" spans="6:7" x14ac:dyDescent="0.25">
      <c r="F208" s="4" t="s">
        <v>247</v>
      </c>
      <c r="G208" s="6">
        <v>30</v>
      </c>
    </row>
    <row r="209" spans="6:7" x14ac:dyDescent="0.25">
      <c r="F209" s="4" t="s">
        <v>248</v>
      </c>
      <c r="G209" s="6">
        <v>62</v>
      </c>
    </row>
    <row r="210" spans="6:7" x14ac:dyDescent="0.25">
      <c r="F210" s="4" t="s">
        <v>249</v>
      </c>
      <c r="G210" s="6">
        <v>39</v>
      </c>
    </row>
    <row r="211" spans="6:7" x14ac:dyDescent="0.25">
      <c r="F211" s="4" t="s">
        <v>250</v>
      </c>
      <c r="G211" s="6">
        <v>32</v>
      </c>
    </row>
    <row r="212" spans="6:7" x14ac:dyDescent="0.25">
      <c r="F212" s="4" t="s">
        <v>251</v>
      </c>
      <c r="G212" s="6">
        <v>61</v>
      </c>
    </row>
    <row r="213" spans="6:7" x14ac:dyDescent="0.25">
      <c r="F213" s="4" t="s">
        <v>252</v>
      </c>
      <c r="G213" s="6">
        <v>64</v>
      </c>
    </row>
    <row r="214" spans="6:7" x14ac:dyDescent="0.25">
      <c r="F214" s="4" t="s">
        <v>253</v>
      </c>
      <c r="G214" s="6">
        <v>59</v>
      </c>
    </row>
    <row r="215" spans="6:7" x14ac:dyDescent="0.25">
      <c r="F215" s="4" t="s">
        <v>254</v>
      </c>
      <c r="G215" s="6">
        <v>41</v>
      </c>
    </row>
    <row r="216" spans="6:7" x14ac:dyDescent="0.25">
      <c r="F216" s="4" t="s">
        <v>255</v>
      </c>
      <c r="G216" s="6">
        <v>43</v>
      </c>
    </row>
    <row r="217" spans="6:7" x14ac:dyDescent="0.25">
      <c r="F217" s="4" t="s">
        <v>256</v>
      </c>
      <c r="G217" s="6">
        <v>39</v>
      </c>
    </row>
    <row r="218" spans="6:7" x14ac:dyDescent="0.25">
      <c r="F218" s="4" t="s">
        <v>257</v>
      </c>
      <c r="G218" s="6">
        <v>55</v>
      </c>
    </row>
    <row r="219" spans="6:7" x14ac:dyDescent="0.25">
      <c r="F219" s="4" t="s">
        <v>258</v>
      </c>
      <c r="G219" s="6">
        <v>46</v>
      </c>
    </row>
    <row r="220" spans="6:7" x14ac:dyDescent="0.25">
      <c r="F220" s="4" t="s">
        <v>259</v>
      </c>
      <c r="G220" s="6">
        <v>33</v>
      </c>
    </row>
    <row r="221" spans="6:7" x14ac:dyDescent="0.25">
      <c r="F221" s="4" t="s">
        <v>260</v>
      </c>
      <c r="G221" s="6">
        <v>34</v>
      </c>
    </row>
    <row r="222" spans="6:7" x14ac:dyDescent="0.25">
      <c r="F222" s="4" t="s">
        <v>261</v>
      </c>
      <c r="G222" s="6">
        <v>64</v>
      </c>
    </row>
    <row r="223" spans="6:7" x14ac:dyDescent="0.25">
      <c r="F223" s="4" t="s">
        <v>262</v>
      </c>
      <c r="G223" s="6">
        <v>39</v>
      </c>
    </row>
    <row r="224" spans="6:7" x14ac:dyDescent="0.25">
      <c r="F224" s="4" t="s">
        <v>263</v>
      </c>
      <c r="G224" s="6">
        <v>50</v>
      </c>
    </row>
    <row r="225" spans="6:7" x14ac:dyDescent="0.25">
      <c r="F225" s="4" t="s">
        <v>264</v>
      </c>
      <c r="G225" s="6">
        <v>34</v>
      </c>
    </row>
    <row r="226" spans="6:7" x14ac:dyDescent="0.25">
      <c r="F226" s="4" t="s">
        <v>265</v>
      </c>
      <c r="G226" s="6">
        <v>37</v>
      </c>
    </row>
    <row r="227" spans="6:7" x14ac:dyDescent="0.25">
      <c r="F227" s="4" t="s">
        <v>266</v>
      </c>
      <c r="G227" s="6">
        <v>75</v>
      </c>
    </row>
    <row r="228" spans="6:7" x14ac:dyDescent="0.25">
      <c r="F228" s="4" t="s">
        <v>267</v>
      </c>
      <c r="G228" s="6">
        <v>43</v>
      </c>
    </row>
    <row r="229" spans="6:7" x14ac:dyDescent="0.25">
      <c r="F229" s="4" t="s">
        <v>268</v>
      </c>
      <c r="G229" s="6">
        <v>39</v>
      </c>
    </row>
    <row r="230" spans="6:7" x14ac:dyDescent="0.25">
      <c r="F230" s="4" t="s">
        <v>269</v>
      </c>
      <c r="G230" s="6">
        <v>53</v>
      </c>
    </row>
    <row r="231" spans="6:7" x14ac:dyDescent="0.25">
      <c r="F231" s="4" t="s">
        <v>270</v>
      </c>
      <c r="G231" s="6">
        <v>70</v>
      </c>
    </row>
    <row r="232" spans="6:7" x14ac:dyDescent="0.25">
      <c r="F232" s="4" t="s">
        <v>271</v>
      </c>
      <c r="G232" s="6">
        <v>37</v>
      </c>
    </row>
    <row r="233" spans="6:7" x14ac:dyDescent="0.25">
      <c r="F233" s="4" t="s">
        <v>272</v>
      </c>
      <c r="G233" s="6">
        <v>63</v>
      </c>
    </row>
    <row r="234" spans="6:7" x14ac:dyDescent="0.25">
      <c r="F234" s="4" t="s">
        <v>273</v>
      </c>
      <c r="G234" s="6">
        <v>55</v>
      </c>
    </row>
    <row r="235" spans="6:7" x14ac:dyDescent="0.25">
      <c r="F235" s="4" t="s">
        <v>274</v>
      </c>
      <c r="G235" s="6">
        <v>36</v>
      </c>
    </row>
    <row r="236" spans="6:7" x14ac:dyDescent="0.25">
      <c r="F236" s="4" t="s">
        <v>275</v>
      </c>
      <c r="G236" s="6">
        <v>73</v>
      </c>
    </row>
    <row r="237" spans="6:7" x14ac:dyDescent="0.25">
      <c r="F237" s="4" t="s">
        <v>276</v>
      </c>
      <c r="G237" s="6">
        <v>47</v>
      </c>
    </row>
    <row r="238" spans="6:7" x14ac:dyDescent="0.25">
      <c r="F238" s="4" t="s">
        <v>277</v>
      </c>
      <c r="G238" s="6">
        <v>45</v>
      </c>
    </row>
    <row r="239" spans="6:7" x14ac:dyDescent="0.25">
      <c r="F239" s="4" t="s">
        <v>278</v>
      </c>
      <c r="G239" s="6">
        <v>13</v>
      </c>
    </row>
    <row r="240" spans="6:7" x14ac:dyDescent="0.25">
      <c r="F240" s="4" t="s">
        <v>279</v>
      </c>
      <c r="G240" s="6">
        <v>48</v>
      </c>
    </row>
    <row r="241" spans="6:7" x14ac:dyDescent="0.25">
      <c r="F241" s="4" t="s">
        <v>280</v>
      </c>
      <c r="G241" s="6">
        <v>72</v>
      </c>
    </row>
    <row r="242" spans="6:7" x14ac:dyDescent="0.25">
      <c r="F242" s="4" t="s">
        <v>281</v>
      </c>
      <c r="G242" s="6">
        <v>39</v>
      </c>
    </row>
    <row r="243" spans="6:7" x14ac:dyDescent="0.25">
      <c r="F243" s="4" t="s">
        <v>282</v>
      </c>
      <c r="G243" s="6">
        <v>64</v>
      </c>
    </row>
    <row r="244" spans="6:7" x14ac:dyDescent="0.25">
      <c r="F244" s="4" t="s">
        <v>283</v>
      </c>
      <c r="G244" s="6">
        <v>38</v>
      </c>
    </row>
    <row r="245" spans="6:7" x14ac:dyDescent="0.25">
      <c r="F245" s="4" t="s">
        <v>284</v>
      </c>
      <c r="G245" s="6">
        <v>35</v>
      </c>
    </row>
    <row r="246" spans="6:7" x14ac:dyDescent="0.25">
      <c r="F246" s="4" t="s">
        <v>285</v>
      </c>
      <c r="G246" s="6">
        <v>70</v>
      </c>
    </row>
    <row r="247" spans="6:7" x14ac:dyDescent="0.25">
      <c r="F247" s="4" t="s">
        <v>286</v>
      </c>
      <c r="G247" s="6">
        <v>47</v>
      </c>
    </row>
    <row r="248" spans="6:7" x14ac:dyDescent="0.25">
      <c r="F248" s="4" t="s">
        <v>287</v>
      </c>
      <c r="G248" s="6">
        <v>55</v>
      </c>
    </row>
    <row r="249" spans="6:7" x14ac:dyDescent="0.25">
      <c r="F249" s="4" t="s">
        <v>288</v>
      </c>
      <c r="G249" s="6">
        <v>59</v>
      </c>
    </row>
    <row r="250" spans="6:7" x14ac:dyDescent="0.25">
      <c r="F250" s="4" t="s">
        <v>289</v>
      </c>
      <c r="G250" s="6">
        <v>33</v>
      </c>
    </row>
    <row r="251" spans="6:7" x14ac:dyDescent="0.25">
      <c r="F251" s="4" t="s">
        <v>290</v>
      </c>
      <c r="G251" s="6">
        <v>58</v>
      </c>
    </row>
    <row r="252" spans="6:7" x14ac:dyDescent="0.25">
      <c r="F252" s="29">
        <v>44927</v>
      </c>
      <c r="G252" s="6">
        <v>38</v>
      </c>
    </row>
    <row r="253" spans="6:7" x14ac:dyDescent="0.25">
      <c r="F253" s="29">
        <v>44928</v>
      </c>
      <c r="G253" s="6">
        <v>72</v>
      </c>
    </row>
    <row r="254" spans="6:7" x14ac:dyDescent="0.25">
      <c r="F254" s="29">
        <v>44929</v>
      </c>
      <c r="G254" s="6">
        <v>69</v>
      </c>
    </row>
    <row r="255" spans="6:7" x14ac:dyDescent="0.25">
      <c r="F255" s="29">
        <v>44930</v>
      </c>
      <c r="G255" s="6">
        <v>55</v>
      </c>
    </row>
    <row r="256" spans="6:7" x14ac:dyDescent="0.25">
      <c r="F256" s="29">
        <v>44931</v>
      </c>
      <c r="G256" s="6">
        <v>58</v>
      </c>
    </row>
    <row r="257" spans="6:7" x14ac:dyDescent="0.25">
      <c r="F257" s="29">
        <v>44932</v>
      </c>
      <c r="G257" s="6">
        <v>44</v>
      </c>
    </row>
    <row r="258" spans="6:7" x14ac:dyDescent="0.25">
      <c r="F258" s="29">
        <v>44933</v>
      </c>
      <c r="G258" s="6">
        <v>53</v>
      </c>
    </row>
    <row r="259" spans="6:7" x14ac:dyDescent="0.25">
      <c r="F259" s="29">
        <v>44934</v>
      </c>
      <c r="G259" s="6">
        <v>63</v>
      </c>
    </row>
    <row r="260" spans="6:7" x14ac:dyDescent="0.25">
      <c r="F260" s="29">
        <v>44935</v>
      </c>
      <c r="G260" s="6">
        <v>51</v>
      </c>
    </row>
    <row r="261" spans="6:7" x14ac:dyDescent="0.25">
      <c r="F261" s="29">
        <v>44936</v>
      </c>
      <c r="G261" s="6">
        <v>57</v>
      </c>
    </row>
    <row r="262" spans="6:7" x14ac:dyDescent="0.25">
      <c r="F262" s="29">
        <v>44937</v>
      </c>
      <c r="G262" s="6">
        <v>50</v>
      </c>
    </row>
    <row r="263" spans="6:7" x14ac:dyDescent="0.25">
      <c r="F263" s="29">
        <v>44938</v>
      </c>
      <c r="G263" s="6">
        <v>67</v>
      </c>
    </row>
    <row r="264" spans="6:7" x14ac:dyDescent="0.25">
      <c r="F264" s="29">
        <v>44958</v>
      </c>
      <c r="G264" s="6">
        <v>37</v>
      </c>
    </row>
    <row r="265" spans="6:7" x14ac:dyDescent="0.25">
      <c r="F265" s="29">
        <v>44959</v>
      </c>
      <c r="G265" s="6">
        <v>59</v>
      </c>
    </row>
    <row r="266" spans="6:7" x14ac:dyDescent="0.25">
      <c r="F266" s="29">
        <v>44960</v>
      </c>
      <c r="G266" s="6">
        <v>48</v>
      </c>
    </row>
    <row r="267" spans="6:7" x14ac:dyDescent="0.25">
      <c r="F267" s="29">
        <v>44961</v>
      </c>
      <c r="G267" s="6">
        <v>37</v>
      </c>
    </row>
    <row r="268" spans="6:7" x14ac:dyDescent="0.25">
      <c r="F268" s="29">
        <v>44962</v>
      </c>
      <c r="G268" s="6">
        <v>49</v>
      </c>
    </row>
    <row r="269" spans="6:7" x14ac:dyDescent="0.25">
      <c r="F269" s="29">
        <v>44963</v>
      </c>
      <c r="G269" s="6">
        <v>56</v>
      </c>
    </row>
    <row r="270" spans="6:7" x14ac:dyDescent="0.25">
      <c r="F270" s="29">
        <v>44964</v>
      </c>
      <c r="G270" s="6">
        <v>35</v>
      </c>
    </row>
    <row r="271" spans="6:7" x14ac:dyDescent="0.25">
      <c r="F271" s="29">
        <v>44965</v>
      </c>
      <c r="G271" s="6">
        <v>37</v>
      </c>
    </row>
    <row r="272" spans="6:7" x14ac:dyDescent="0.25">
      <c r="F272" s="29">
        <v>44966</v>
      </c>
      <c r="G272" s="6">
        <v>64</v>
      </c>
    </row>
    <row r="273" spans="6:7" x14ac:dyDescent="0.25">
      <c r="F273" s="29">
        <v>44967</v>
      </c>
      <c r="G273" s="6">
        <v>74</v>
      </c>
    </row>
    <row r="274" spans="6:7" x14ac:dyDescent="0.25">
      <c r="F274" s="29">
        <v>44968</v>
      </c>
      <c r="G274" s="6">
        <v>47</v>
      </c>
    </row>
    <row r="275" spans="6:7" x14ac:dyDescent="0.25">
      <c r="F275" s="29">
        <v>44969</v>
      </c>
      <c r="G275" s="6">
        <v>84</v>
      </c>
    </row>
    <row r="276" spans="6:7" x14ac:dyDescent="0.25">
      <c r="F276" s="29">
        <v>44986</v>
      </c>
      <c r="G276" s="6">
        <v>33</v>
      </c>
    </row>
    <row r="277" spans="6:7" x14ac:dyDescent="0.25">
      <c r="F277" s="29">
        <v>44987</v>
      </c>
      <c r="G277" s="6">
        <v>70</v>
      </c>
    </row>
    <row r="278" spans="6:7" x14ac:dyDescent="0.25">
      <c r="F278" s="29">
        <v>44988</v>
      </c>
      <c r="G278" s="6">
        <v>31</v>
      </c>
    </row>
    <row r="279" spans="6:7" x14ac:dyDescent="0.25">
      <c r="F279" s="29">
        <v>44989</v>
      </c>
      <c r="G279" s="6">
        <v>34</v>
      </c>
    </row>
    <row r="280" spans="6:7" x14ac:dyDescent="0.25">
      <c r="F280" s="29">
        <v>44990</v>
      </c>
      <c r="G280" s="6">
        <v>52</v>
      </c>
    </row>
    <row r="281" spans="6:7" x14ac:dyDescent="0.25">
      <c r="F281" s="29">
        <v>44991</v>
      </c>
      <c r="G281" s="6">
        <v>67</v>
      </c>
    </row>
    <row r="282" spans="6:7" x14ac:dyDescent="0.25">
      <c r="F282" s="29">
        <v>44992</v>
      </c>
      <c r="G282" s="6">
        <v>53</v>
      </c>
    </row>
    <row r="283" spans="6:7" x14ac:dyDescent="0.25">
      <c r="F283" s="29">
        <v>44993</v>
      </c>
      <c r="G283" s="6">
        <v>42</v>
      </c>
    </row>
    <row r="284" spans="6:7" x14ac:dyDescent="0.25">
      <c r="F284" s="29">
        <v>44994</v>
      </c>
      <c r="G284" s="6">
        <v>69</v>
      </c>
    </row>
    <row r="285" spans="6:7" x14ac:dyDescent="0.25">
      <c r="F285" s="29">
        <v>44995</v>
      </c>
      <c r="G285" s="6">
        <v>25</v>
      </c>
    </row>
    <row r="286" spans="6:7" x14ac:dyDescent="0.25">
      <c r="F286" s="29">
        <v>44996</v>
      </c>
      <c r="G286" s="6">
        <v>47</v>
      </c>
    </row>
    <row r="287" spans="6:7" x14ac:dyDescent="0.25">
      <c r="F287" s="29">
        <v>44997</v>
      </c>
      <c r="G287" s="6">
        <v>53</v>
      </c>
    </row>
    <row r="288" spans="6:7" x14ac:dyDescent="0.25">
      <c r="F288" s="29">
        <v>45017</v>
      </c>
      <c r="G288" s="6">
        <v>57</v>
      </c>
    </row>
    <row r="289" spans="6:7" x14ac:dyDescent="0.25">
      <c r="F289" s="29">
        <v>45018</v>
      </c>
      <c r="G289" s="6">
        <v>47</v>
      </c>
    </row>
    <row r="290" spans="6:7" x14ac:dyDescent="0.25">
      <c r="F290" s="29">
        <v>45019</v>
      </c>
      <c r="G290" s="6">
        <v>56</v>
      </c>
    </row>
    <row r="291" spans="6:7" x14ac:dyDescent="0.25">
      <c r="F291" s="29">
        <v>45020</v>
      </c>
      <c r="G291" s="6">
        <v>74</v>
      </c>
    </row>
    <row r="292" spans="6:7" x14ac:dyDescent="0.25">
      <c r="F292" s="29">
        <v>45021</v>
      </c>
      <c r="G292" s="6">
        <v>71</v>
      </c>
    </row>
    <row r="293" spans="6:7" x14ac:dyDescent="0.25">
      <c r="F293" s="29">
        <v>45022</v>
      </c>
      <c r="G293" s="6">
        <v>32</v>
      </c>
    </row>
    <row r="294" spans="6:7" x14ac:dyDescent="0.25">
      <c r="F294" s="29">
        <v>45023</v>
      </c>
      <c r="G294" s="6">
        <v>48</v>
      </c>
    </row>
    <row r="295" spans="6:7" x14ac:dyDescent="0.25">
      <c r="F295" s="29">
        <v>45024</v>
      </c>
      <c r="G295" s="6">
        <v>36</v>
      </c>
    </row>
    <row r="296" spans="6:7" x14ac:dyDescent="0.25">
      <c r="F296" s="29">
        <v>45025</v>
      </c>
      <c r="G296" s="6">
        <v>50</v>
      </c>
    </row>
    <row r="297" spans="6:7" x14ac:dyDescent="0.25">
      <c r="F297" s="29">
        <v>45026</v>
      </c>
      <c r="G297" s="6">
        <v>48</v>
      </c>
    </row>
    <row r="298" spans="6:7" x14ac:dyDescent="0.25">
      <c r="F298" s="29">
        <v>45027</v>
      </c>
      <c r="G298" s="6">
        <v>41</v>
      </c>
    </row>
    <row r="299" spans="6:7" x14ac:dyDescent="0.25">
      <c r="F299" s="29">
        <v>45028</v>
      </c>
      <c r="G299" s="6">
        <v>45</v>
      </c>
    </row>
    <row r="300" spans="6:7" x14ac:dyDescent="0.25">
      <c r="F300" s="29">
        <v>45047</v>
      </c>
      <c r="G300" s="6">
        <v>44</v>
      </c>
    </row>
    <row r="301" spans="6:7" x14ac:dyDescent="0.25">
      <c r="F301" s="29">
        <v>45048</v>
      </c>
      <c r="G301" s="6">
        <v>42</v>
      </c>
    </row>
    <row r="302" spans="6:7" x14ac:dyDescent="0.25">
      <c r="F302" s="29">
        <v>45049</v>
      </c>
      <c r="G302" s="6">
        <v>26</v>
      </c>
    </row>
    <row r="303" spans="6:7" x14ac:dyDescent="0.25">
      <c r="F303" s="29">
        <v>45050</v>
      </c>
      <c r="G303" s="6">
        <v>36</v>
      </c>
    </row>
    <row r="304" spans="6:7" x14ac:dyDescent="0.25">
      <c r="F304" s="29">
        <v>45051</v>
      </c>
      <c r="G304" s="6">
        <v>75</v>
      </c>
    </row>
    <row r="305" spans="6:7" x14ac:dyDescent="0.25">
      <c r="F305" s="29">
        <v>45052</v>
      </c>
      <c r="G305" s="6">
        <v>23</v>
      </c>
    </row>
    <row r="306" spans="6:7" x14ac:dyDescent="0.25">
      <c r="F306" s="29">
        <v>45053</v>
      </c>
      <c r="G306" s="6">
        <v>56</v>
      </c>
    </row>
    <row r="307" spans="6:7" x14ac:dyDescent="0.25">
      <c r="F307" s="29">
        <v>45054</v>
      </c>
      <c r="G307" s="6">
        <v>42</v>
      </c>
    </row>
    <row r="308" spans="6:7" x14ac:dyDescent="0.25">
      <c r="F308" s="29">
        <v>45055</v>
      </c>
      <c r="G308" s="6">
        <v>55</v>
      </c>
    </row>
    <row r="309" spans="6:7" x14ac:dyDescent="0.25">
      <c r="F309" s="29">
        <v>45056</v>
      </c>
      <c r="G309" s="6">
        <v>53</v>
      </c>
    </row>
    <row r="310" spans="6:7" x14ac:dyDescent="0.25">
      <c r="F310" s="29">
        <v>45057</v>
      </c>
      <c r="G310" s="6">
        <v>58</v>
      </c>
    </row>
    <row r="311" spans="6:7" x14ac:dyDescent="0.25">
      <c r="F311" s="29">
        <v>45058</v>
      </c>
      <c r="G311" s="6">
        <v>59</v>
      </c>
    </row>
    <row r="312" spans="6:7" x14ac:dyDescent="0.25">
      <c r="F312" s="29">
        <v>45078</v>
      </c>
      <c r="G312" s="6">
        <v>45</v>
      </c>
    </row>
    <row r="313" spans="6:7" x14ac:dyDescent="0.25">
      <c r="F313" s="29">
        <v>45079</v>
      </c>
      <c r="G313" s="6">
        <v>60</v>
      </c>
    </row>
    <row r="314" spans="6:7" x14ac:dyDescent="0.25">
      <c r="F314" s="29">
        <v>45080</v>
      </c>
      <c r="G314" s="6">
        <v>55</v>
      </c>
    </row>
    <row r="315" spans="6:7" x14ac:dyDescent="0.25">
      <c r="F315" s="29">
        <v>45081</v>
      </c>
      <c r="G315" s="6">
        <v>48</v>
      </c>
    </row>
    <row r="316" spans="6:7" x14ac:dyDescent="0.25">
      <c r="F316" s="29">
        <v>45082</v>
      </c>
      <c r="G316" s="6">
        <v>53</v>
      </c>
    </row>
    <row r="317" spans="6:7" x14ac:dyDescent="0.25">
      <c r="F317" s="29">
        <v>45083</v>
      </c>
      <c r="G317" s="6">
        <v>54</v>
      </c>
    </row>
    <row r="318" spans="6:7" x14ac:dyDescent="0.25">
      <c r="F318" s="29">
        <v>45084</v>
      </c>
      <c r="G318" s="6">
        <v>26</v>
      </c>
    </row>
    <row r="319" spans="6:7" x14ac:dyDescent="0.25">
      <c r="F319" s="29">
        <v>45085</v>
      </c>
      <c r="G319" s="6">
        <v>52</v>
      </c>
    </row>
    <row r="320" spans="6:7" x14ac:dyDescent="0.25">
      <c r="F320" s="29">
        <v>45086</v>
      </c>
      <c r="G320" s="6">
        <v>58</v>
      </c>
    </row>
    <row r="321" spans="6:7" x14ac:dyDescent="0.25">
      <c r="F321" s="29">
        <v>45087</v>
      </c>
      <c r="G321" s="6">
        <v>49</v>
      </c>
    </row>
    <row r="322" spans="6:7" x14ac:dyDescent="0.25">
      <c r="F322" s="29">
        <v>45088</v>
      </c>
      <c r="G322" s="6">
        <v>52</v>
      </c>
    </row>
    <row r="323" spans="6:7" x14ac:dyDescent="0.25">
      <c r="F323" s="29">
        <v>45089</v>
      </c>
      <c r="G323" s="6">
        <v>55</v>
      </c>
    </row>
    <row r="324" spans="6:7" x14ac:dyDescent="0.25">
      <c r="F324" s="29">
        <v>45108</v>
      </c>
      <c r="G324" s="6">
        <v>34</v>
      </c>
    </row>
    <row r="325" spans="6:7" x14ac:dyDescent="0.25">
      <c r="F325" s="29">
        <v>45109</v>
      </c>
      <c r="G325" s="6">
        <v>64</v>
      </c>
    </row>
    <row r="326" spans="6:7" x14ac:dyDescent="0.25">
      <c r="F326" s="29">
        <v>45110</v>
      </c>
      <c r="G326" s="6">
        <v>49</v>
      </c>
    </row>
    <row r="327" spans="6:7" x14ac:dyDescent="0.25">
      <c r="F327" s="29">
        <v>45111</v>
      </c>
      <c r="G327" s="6">
        <v>23</v>
      </c>
    </row>
    <row r="328" spans="6:7" x14ac:dyDescent="0.25">
      <c r="F328" s="29">
        <v>45112</v>
      </c>
      <c r="G328" s="6">
        <v>49</v>
      </c>
    </row>
    <row r="329" spans="6:7" x14ac:dyDescent="0.25">
      <c r="F329" s="29">
        <v>45113</v>
      </c>
      <c r="G329" s="6">
        <v>49</v>
      </c>
    </row>
    <row r="330" spans="6:7" x14ac:dyDescent="0.25">
      <c r="F330" s="29">
        <v>45114</v>
      </c>
      <c r="G330" s="6">
        <v>44</v>
      </c>
    </row>
    <row r="331" spans="6:7" x14ac:dyDescent="0.25">
      <c r="F331" s="29">
        <v>45115</v>
      </c>
      <c r="G331" s="6">
        <v>44</v>
      </c>
    </row>
    <row r="332" spans="6:7" x14ac:dyDescent="0.25">
      <c r="F332" s="29">
        <v>45116</v>
      </c>
      <c r="G332" s="6">
        <v>53</v>
      </c>
    </row>
    <row r="333" spans="6:7" x14ac:dyDescent="0.25">
      <c r="F333" s="29">
        <v>45117</v>
      </c>
      <c r="G333" s="6">
        <v>41</v>
      </c>
    </row>
    <row r="334" spans="6:7" x14ac:dyDescent="0.25">
      <c r="F334" s="29">
        <v>45118</v>
      </c>
      <c r="G334" s="6">
        <v>46</v>
      </c>
    </row>
    <row r="335" spans="6:7" x14ac:dyDescent="0.25">
      <c r="F335" s="29">
        <v>45119</v>
      </c>
      <c r="G335" s="6">
        <v>49</v>
      </c>
    </row>
    <row r="336" spans="6:7" x14ac:dyDescent="0.25">
      <c r="F336" s="29">
        <v>45139</v>
      </c>
      <c r="G336" s="6">
        <v>75</v>
      </c>
    </row>
    <row r="337" spans="6:7" x14ac:dyDescent="0.25">
      <c r="F337" s="29">
        <v>45140</v>
      </c>
      <c r="G337" s="6">
        <v>55</v>
      </c>
    </row>
    <row r="338" spans="6:7" x14ac:dyDescent="0.25">
      <c r="F338" s="29">
        <v>45141</v>
      </c>
      <c r="G338" s="6">
        <v>52</v>
      </c>
    </row>
    <row r="339" spans="6:7" x14ac:dyDescent="0.25">
      <c r="F339" s="29">
        <v>45142</v>
      </c>
      <c r="G339" s="6">
        <v>40</v>
      </c>
    </row>
    <row r="340" spans="6:7" x14ac:dyDescent="0.25">
      <c r="F340" s="29">
        <v>45143</v>
      </c>
      <c r="G340" s="6">
        <v>46</v>
      </c>
    </row>
    <row r="341" spans="6:7" x14ac:dyDescent="0.25">
      <c r="F341" s="29">
        <v>45144</v>
      </c>
      <c r="G341" s="6">
        <v>56</v>
      </c>
    </row>
    <row r="342" spans="6:7" x14ac:dyDescent="0.25">
      <c r="F342" s="29">
        <v>45145</v>
      </c>
      <c r="G342" s="6">
        <v>49</v>
      </c>
    </row>
    <row r="343" spans="6:7" x14ac:dyDescent="0.25">
      <c r="F343" s="29">
        <v>45146</v>
      </c>
      <c r="G343" s="6">
        <v>62</v>
      </c>
    </row>
    <row r="344" spans="6:7" x14ac:dyDescent="0.25">
      <c r="F344" s="29">
        <v>45147</v>
      </c>
      <c r="G344" s="6">
        <v>67</v>
      </c>
    </row>
    <row r="345" spans="6:7" x14ac:dyDescent="0.25">
      <c r="F345" s="29">
        <v>45148</v>
      </c>
      <c r="G345" s="6">
        <v>53</v>
      </c>
    </row>
    <row r="346" spans="6:7" x14ac:dyDescent="0.25">
      <c r="F346" s="29">
        <v>45149</v>
      </c>
      <c r="G346" s="6">
        <v>55</v>
      </c>
    </row>
    <row r="347" spans="6:7" x14ac:dyDescent="0.25">
      <c r="F347" s="29">
        <v>45150</v>
      </c>
      <c r="G347" s="6">
        <v>73</v>
      </c>
    </row>
    <row r="348" spans="6:7" x14ac:dyDescent="0.25">
      <c r="F348" s="29">
        <v>45170</v>
      </c>
      <c r="G348" s="6">
        <v>47</v>
      </c>
    </row>
    <row r="349" spans="6:7" x14ac:dyDescent="0.25">
      <c r="F349" s="29">
        <v>45171</v>
      </c>
      <c r="G349" s="6">
        <v>44</v>
      </c>
    </row>
    <row r="350" spans="6:7" x14ac:dyDescent="0.25">
      <c r="F350" s="29">
        <v>45172</v>
      </c>
      <c r="G350" s="6">
        <v>54</v>
      </c>
    </row>
    <row r="351" spans="6:7" x14ac:dyDescent="0.25">
      <c r="F351" s="29">
        <v>45173</v>
      </c>
      <c r="G351" s="6">
        <v>41</v>
      </c>
    </row>
    <row r="352" spans="6:7" x14ac:dyDescent="0.25">
      <c r="F352" s="29">
        <v>45174</v>
      </c>
      <c r="G352" s="6">
        <v>41</v>
      </c>
    </row>
    <row r="353" spans="6:7" x14ac:dyDescent="0.25">
      <c r="F353" s="29">
        <v>45175</v>
      </c>
      <c r="G353" s="6">
        <v>58</v>
      </c>
    </row>
    <row r="354" spans="6:7" x14ac:dyDescent="0.25">
      <c r="F354" s="29">
        <v>45176</v>
      </c>
      <c r="G354" s="6">
        <v>69</v>
      </c>
    </row>
    <row r="355" spans="6:7" x14ac:dyDescent="0.25">
      <c r="F355" s="29">
        <v>45177</v>
      </c>
      <c r="G355" s="6">
        <v>58</v>
      </c>
    </row>
    <row r="356" spans="6:7" x14ac:dyDescent="0.25">
      <c r="F356" s="29">
        <v>45178</v>
      </c>
      <c r="G356" s="6">
        <v>58</v>
      </c>
    </row>
    <row r="357" spans="6:7" x14ac:dyDescent="0.25">
      <c r="F357" s="29">
        <v>45179</v>
      </c>
      <c r="G357" s="6">
        <v>67</v>
      </c>
    </row>
    <row r="358" spans="6:7" x14ac:dyDescent="0.25">
      <c r="F358" s="29">
        <v>45180</v>
      </c>
      <c r="G358" s="6">
        <v>41</v>
      </c>
    </row>
    <row r="359" spans="6:7" x14ac:dyDescent="0.25">
      <c r="F359" s="29">
        <v>45181</v>
      </c>
      <c r="G359" s="6">
        <v>41</v>
      </c>
    </row>
    <row r="360" spans="6:7" x14ac:dyDescent="0.25">
      <c r="F360" s="29">
        <v>45200</v>
      </c>
      <c r="G360" s="6">
        <v>53</v>
      </c>
    </row>
    <row r="361" spans="6:7" x14ac:dyDescent="0.25">
      <c r="F361" s="29">
        <v>45201</v>
      </c>
      <c r="G361" s="6">
        <v>57</v>
      </c>
    </row>
    <row r="362" spans="6:7" x14ac:dyDescent="0.25">
      <c r="F362" s="29">
        <v>45202</v>
      </c>
      <c r="G362" s="6">
        <v>45</v>
      </c>
    </row>
    <row r="363" spans="6:7" x14ac:dyDescent="0.25">
      <c r="F363" s="29">
        <v>45203</v>
      </c>
      <c r="G363" s="6">
        <v>53</v>
      </c>
    </row>
    <row r="364" spans="6:7" x14ac:dyDescent="0.25">
      <c r="F364" s="29">
        <v>45204</v>
      </c>
      <c r="G364" s="6">
        <v>42</v>
      </c>
    </row>
    <row r="365" spans="6:7" x14ac:dyDescent="0.25">
      <c r="F365" s="29">
        <v>45205</v>
      </c>
      <c r="G365" s="6">
        <v>46</v>
      </c>
    </row>
    <row r="366" spans="6:7" x14ac:dyDescent="0.25">
      <c r="F366" s="29">
        <v>45206</v>
      </c>
      <c r="G366" s="6">
        <v>57</v>
      </c>
    </row>
    <row r="367" spans="6:7" x14ac:dyDescent="0.25">
      <c r="F367" s="29">
        <v>45207</v>
      </c>
      <c r="G367" s="6">
        <v>56</v>
      </c>
    </row>
    <row r="368" spans="6:7" x14ac:dyDescent="0.25">
      <c r="F368" s="29">
        <v>45208</v>
      </c>
      <c r="G368" s="6">
        <v>66</v>
      </c>
    </row>
    <row r="369" spans="6:7" x14ac:dyDescent="0.25">
      <c r="F369" s="29">
        <v>45209</v>
      </c>
      <c r="G369" s="6">
        <v>52</v>
      </c>
    </row>
    <row r="370" spans="6:7" x14ac:dyDescent="0.25">
      <c r="F370" s="29">
        <v>45210</v>
      </c>
      <c r="G370" s="6">
        <v>48</v>
      </c>
    </row>
    <row r="371" spans="6:7" x14ac:dyDescent="0.25">
      <c r="F371" s="29">
        <v>45211</v>
      </c>
      <c r="G371" s="6">
        <v>38</v>
      </c>
    </row>
    <row r="372" spans="6:7" x14ac:dyDescent="0.25">
      <c r="F372" s="29">
        <v>45231</v>
      </c>
      <c r="G372" s="6">
        <v>42</v>
      </c>
    </row>
    <row r="373" spans="6:7" x14ac:dyDescent="0.25">
      <c r="F373" s="29">
        <v>45232</v>
      </c>
      <c r="G373" s="6">
        <v>47</v>
      </c>
    </row>
    <row r="374" spans="6:7" x14ac:dyDescent="0.25">
      <c r="F374" s="29">
        <v>45233</v>
      </c>
      <c r="G374" s="6">
        <v>61</v>
      </c>
    </row>
    <row r="375" spans="6:7" x14ac:dyDescent="0.25">
      <c r="F375" s="29">
        <v>45234</v>
      </c>
      <c r="G375" s="6">
        <v>59</v>
      </c>
    </row>
    <row r="376" spans="6:7" x14ac:dyDescent="0.25">
      <c r="F376" s="29">
        <v>45235</v>
      </c>
      <c r="G376" s="6">
        <v>37</v>
      </c>
    </row>
    <row r="377" spans="6:7" x14ac:dyDescent="0.25">
      <c r="F377" s="29">
        <v>45236</v>
      </c>
      <c r="G377" s="6">
        <v>68</v>
      </c>
    </row>
    <row r="378" spans="6:7" x14ac:dyDescent="0.25">
      <c r="F378" s="29">
        <v>45237</v>
      </c>
      <c r="G378" s="6">
        <v>61</v>
      </c>
    </row>
    <row r="379" spans="6:7" x14ac:dyDescent="0.25">
      <c r="F379" s="29">
        <v>45238</v>
      </c>
      <c r="G379" s="6">
        <v>49</v>
      </c>
    </row>
    <row r="380" spans="6:7" x14ac:dyDescent="0.25">
      <c r="F380" s="29">
        <v>45239</v>
      </c>
      <c r="G380" s="6">
        <v>60</v>
      </c>
    </row>
    <row r="381" spans="6:7" x14ac:dyDescent="0.25">
      <c r="F381" s="29">
        <v>45240</v>
      </c>
      <c r="G381" s="6">
        <v>50</v>
      </c>
    </row>
    <row r="382" spans="6:7" x14ac:dyDescent="0.25">
      <c r="F382" s="29">
        <v>45241</v>
      </c>
      <c r="G382" s="6">
        <v>81</v>
      </c>
    </row>
    <row r="383" spans="6:7" x14ac:dyDescent="0.25">
      <c r="F383" s="29">
        <v>45242</v>
      </c>
      <c r="G383" s="6">
        <v>44</v>
      </c>
    </row>
    <row r="384" spans="6:7" x14ac:dyDescent="0.25">
      <c r="F384" s="29">
        <v>45261</v>
      </c>
      <c r="G384" s="6">
        <v>36</v>
      </c>
    </row>
    <row r="385" spans="6:7" x14ac:dyDescent="0.25">
      <c r="F385" s="29">
        <v>45262</v>
      </c>
      <c r="G385" s="6">
        <v>72</v>
      </c>
    </row>
    <row r="386" spans="6:7" x14ac:dyDescent="0.25">
      <c r="F386" s="29">
        <v>45263</v>
      </c>
      <c r="G386" s="6">
        <v>42</v>
      </c>
    </row>
    <row r="387" spans="6:7" x14ac:dyDescent="0.25">
      <c r="F387" s="29">
        <v>45264</v>
      </c>
      <c r="G387" s="6">
        <v>68</v>
      </c>
    </row>
    <row r="388" spans="6:7" x14ac:dyDescent="0.25">
      <c r="F388" s="29">
        <v>45265</v>
      </c>
      <c r="G388" s="6">
        <v>50</v>
      </c>
    </row>
    <row r="389" spans="6:7" x14ac:dyDescent="0.25">
      <c r="F389" s="29">
        <v>45266</v>
      </c>
      <c r="G389" s="6">
        <v>49</v>
      </c>
    </row>
    <row r="390" spans="6:7" x14ac:dyDescent="0.25">
      <c r="F390" s="29">
        <v>45267</v>
      </c>
      <c r="G390" s="6">
        <v>54</v>
      </c>
    </row>
    <row r="391" spans="6:7" x14ac:dyDescent="0.25">
      <c r="F391" s="29">
        <v>45268</v>
      </c>
      <c r="G391" s="6">
        <v>53</v>
      </c>
    </row>
    <row r="392" spans="6:7" x14ac:dyDescent="0.25">
      <c r="F392" s="29">
        <v>45269</v>
      </c>
      <c r="G392" s="6">
        <v>60</v>
      </c>
    </row>
    <row r="393" spans="6:7" x14ac:dyDescent="0.25">
      <c r="F393" s="29">
        <v>45270</v>
      </c>
      <c r="G393" s="6">
        <v>48</v>
      </c>
    </row>
    <row r="394" spans="6:7" x14ac:dyDescent="0.25">
      <c r="F394" s="29">
        <v>45271</v>
      </c>
      <c r="G394" s="6">
        <v>27</v>
      </c>
    </row>
    <row r="395" spans="6:7" x14ac:dyDescent="0.25">
      <c r="F395" s="29">
        <v>45272</v>
      </c>
      <c r="G395" s="6">
        <v>39</v>
      </c>
    </row>
    <row r="396" spans="6:7" x14ac:dyDescent="0.25">
      <c r="F396" s="4" t="s">
        <v>15</v>
      </c>
      <c r="G396" s="6">
        <v>18298</v>
      </c>
    </row>
    <row r="410" spans="6:7" x14ac:dyDescent="0.25">
      <c r="F410" t="s">
        <v>29</v>
      </c>
    </row>
    <row r="411" spans="6:7" x14ac:dyDescent="0.25">
      <c r="F411" s="6">
        <v>18298</v>
      </c>
    </row>
    <row r="412" spans="6:7" x14ac:dyDescent="0.25">
      <c r="F412" t="s">
        <v>294</v>
      </c>
      <c r="G412" t="s">
        <v>295</v>
      </c>
    </row>
    <row r="413" spans="6:7" x14ac:dyDescent="0.25">
      <c r="F413">
        <v>1</v>
      </c>
      <c r="G413">
        <f>SUMPRODUCT((MONTH(RetailSales[Date])=F411)*RetailSales[Quantity])</f>
        <v>0</v>
      </c>
    </row>
    <row r="414" spans="6:7" x14ac:dyDescent="0.25">
      <c r="F414">
        <v>2</v>
      </c>
      <c r="G414">
        <f>SUMPRODUCT((MONTH(RetailSales[Date])=F412)*RetailSales[Quantity])</f>
        <v>0</v>
      </c>
    </row>
    <row r="415" spans="6:7" x14ac:dyDescent="0.25">
      <c r="F415">
        <v>3</v>
      </c>
      <c r="G415">
        <f>SUMPRODUCT((MONTH(RetailSales[Date])=F413)*RetailSales[Quantity])</f>
        <v>474</v>
      </c>
    </row>
    <row r="416" spans="6:7" x14ac:dyDescent="0.25">
      <c r="F416">
        <v>4</v>
      </c>
      <c r="G416">
        <f>SUMPRODUCT((MONTH(RetailSales[Date])=F414)*RetailSales[Quantity])</f>
        <v>296</v>
      </c>
    </row>
    <row r="417" spans="6:7" x14ac:dyDescent="0.25">
      <c r="F417">
        <v>5</v>
      </c>
      <c r="G417">
        <f>SUMPRODUCT((MONTH(RetailSales[Date])=F415)*RetailSales[Quantity])</f>
        <v>318</v>
      </c>
    </row>
    <row r="418" spans="6:7" x14ac:dyDescent="0.25">
      <c r="F418">
        <v>6</v>
      </c>
      <c r="G418">
        <f>SUMPRODUCT((MONTH(RetailSales[Date])=F416)*RetailSales[Quantity])</f>
        <v>271</v>
      </c>
    </row>
    <row r="419" spans="6:7" x14ac:dyDescent="0.25">
      <c r="F419">
        <v>7</v>
      </c>
      <c r="G419">
        <f>SUMPRODUCT((MONTH(RetailSales[Date])=F417)*RetailSales[Quantity])</f>
        <v>329</v>
      </c>
    </row>
    <row r="420" spans="6:7" x14ac:dyDescent="0.25">
      <c r="F420" t="s">
        <v>296</v>
      </c>
      <c r="G420">
        <f>AVERAGE(G411:G417)</f>
        <v>217.6</v>
      </c>
    </row>
  </sheetData>
  <pageMargins left="0.7" right="0.7" top="0.75" bottom="0.75" header="0.3" footer="0.3"/>
  <pageSetup orientation="portrait"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9B067B2-272B-4769-A60F-4C0AB775825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vish_miniproject_1</vt:lpstr>
      <vt:lpstr>Pivot_Sales_Category</vt:lpstr>
      <vt:lpstr>Pivot_Sales_Region</vt:lpstr>
      <vt:lpstr>Pivot_Quantity_Category</vt:lpstr>
      <vt:lpstr>Pivot_Monthly_Sales</vt:lpstr>
      <vt:lpstr>Pivot_Safety_Stock</vt:lpstr>
      <vt:lpstr>Dashboard</vt:lpstr>
      <vt:lpstr>forecast_chart</vt:lpstr>
      <vt:lpstr>SQL_Analytics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2026-09-15T15:28:07Z</dcterms:created>
  <dcterms:modified xsi:type="dcterms:W3CDTF">2026-09-22T15:20:46Z</dcterms:modified>
</cp:coreProperties>
</file>